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IS Templates\With GHC Watermark\"/>
    </mc:Choice>
  </mc:AlternateContent>
  <xr:revisionPtr revIDLastSave="0" documentId="13_ncr:1_{E18D48B9-566B-4BBA-9FBB-406A7BCF65BB}" xr6:coauthVersionLast="47" xr6:coauthVersionMax="47" xr10:uidLastSave="{00000000-0000-0000-0000-000000000000}"/>
  <bookViews>
    <workbookView xWindow="-108" yWindow="-108" windowWidth="23256" windowHeight="13896" tabRatio="897" xr2:uid="{00000000-000D-0000-FFFF-FFFF00000000}"/>
  </bookViews>
  <sheets>
    <sheet name="Instructions" sheetId="10" r:id="rId1"/>
    <sheet name="Dashboard" sheetId="1" r:id="rId2"/>
    <sheet name="Revenue MIS" sheetId="2" r:id="rId3"/>
    <sheet name="Expense MIS" sheetId="3" r:id="rId4"/>
    <sheet name="Manufacturing Metrics" sheetId="11" r:id="rId5"/>
    <sheet name="P&amp;L" sheetId="4" r:id="rId6"/>
    <sheet name="CFS" sheetId="5" r:id="rId7"/>
    <sheet name="Budget vs Actual" sheetId="6" r:id="rId8"/>
    <sheet name="Receivables &amp; Payables Tracker" sheetId="8" r:id="rId9"/>
    <sheet name="Working Capital Inputs" sheetId="9" r:id="rId10"/>
    <sheet name="KPI &amp; Ratio Analysis" sheetId="7" r:id="rId11"/>
  </sheets>
  <definedNames>
    <definedName name="_xlnm.Print_Area" localSheetId="0">Instructions!$A$1:$AB$118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6" l="1"/>
  <c r="C7" i="6" l="1"/>
  <c r="D8" i="4" l="1"/>
  <c r="E8" i="4"/>
  <c r="F8" i="4"/>
  <c r="G8" i="4"/>
  <c r="H8" i="4"/>
  <c r="I8" i="4"/>
  <c r="J8" i="4"/>
  <c r="K8" i="4"/>
  <c r="L8" i="4"/>
  <c r="M8" i="4"/>
  <c r="N8" i="4"/>
  <c r="C8" i="4"/>
  <c r="D4" i="4"/>
  <c r="E4" i="4"/>
  <c r="F4" i="4"/>
  <c r="G4" i="4"/>
  <c r="H4" i="4"/>
  <c r="I4" i="4"/>
  <c r="J4" i="4"/>
  <c r="K4" i="4"/>
  <c r="L4" i="4"/>
  <c r="M4" i="4"/>
  <c r="N4" i="4"/>
  <c r="C4" i="4"/>
  <c r="O4" i="4" s="1"/>
  <c r="C23" i="7"/>
  <c r="H16" i="1"/>
  <c r="C13" i="11"/>
  <c r="C27" i="7" s="1"/>
  <c r="C12" i="11"/>
  <c r="C26" i="7" s="1"/>
  <c r="C10" i="11"/>
  <c r="C24" i="7" s="1"/>
  <c r="O6" i="3"/>
  <c r="D27" i="3" s="1"/>
  <c r="E27" i="3" s="1"/>
  <c r="F27" i="3" s="1"/>
  <c r="O7" i="3"/>
  <c r="D28" i="3" s="1"/>
  <c r="E28" i="3" s="1"/>
  <c r="F28" i="3" s="1"/>
  <c r="O10" i="3"/>
  <c r="D31" i="3" s="1"/>
  <c r="E31" i="3" s="1"/>
  <c r="F31" i="3" s="1"/>
  <c r="D18" i="2" l="1"/>
  <c r="E18" i="2"/>
  <c r="F18" i="2"/>
  <c r="G18" i="2"/>
  <c r="C18" i="2"/>
  <c r="O5" i="3" l="1"/>
  <c r="D26" i="3" s="1"/>
  <c r="E26" i="3" s="1"/>
  <c r="F26" i="3" s="1"/>
  <c r="C31" i="8" l="1"/>
  <c r="H19" i="8" s="1"/>
  <c r="C9" i="9" s="1"/>
  <c r="C12" i="9" s="1"/>
  <c r="C15" i="8"/>
  <c r="H18" i="8" s="1"/>
  <c r="C41" i="3"/>
  <c r="C11" i="6" s="1"/>
  <c r="C4" i="6"/>
  <c r="C34" i="2"/>
  <c r="C3" i="6" s="1"/>
  <c r="O19" i="5"/>
  <c r="D17" i="5"/>
  <c r="E17" i="5"/>
  <c r="F17" i="5"/>
  <c r="G17" i="5"/>
  <c r="H17" i="5"/>
  <c r="I17" i="5"/>
  <c r="J17" i="5"/>
  <c r="K17" i="5"/>
  <c r="L17" i="5"/>
  <c r="M17" i="5"/>
  <c r="N17" i="5"/>
  <c r="C17" i="5"/>
  <c r="D11" i="5"/>
  <c r="E11" i="5"/>
  <c r="F11" i="5"/>
  <c r="G11" i="5"/>
  <c r="H11" i="5"/>
  <c r="I11" i="5"/>
  <c r="J11" i="5"/>
  <c r="K11" i="5"/>
  <c r="L11" i="5"/>
  <c r="M11" i="5"/>
  <c r="N11" i="5"/>
  <c r="C11" i="5"/>
  <c r="O16" i="5"/>
  <c r="O15" i="5"/>
  <c r="O14" i="5"/>
  <c r="O13" i="5"/>
  <c r="O10" i="5"/>
  <c r="O9" i="5"/>
  <c r="O4" i="5"/>
  <c r="O5" i="5"/>
  <c r="O6" i="5"/>
  <c r="O3" i="5"/>
  <c r="D7" i="5"/>
  <c r="E7" i="5"/>
  <c r="E20" i="5" s="1"/>
  <c r="F7" i="5"/>
  <c r="G7" i="5"/>
  <c r="G20" i="5" s="1"/>
  <c r="H7" i="5"/>
  <c r="H20" i="5" s="1"/>
  <c r="I7" i="5"/>
  <c r="J7" i="5"/>
  <c r="J20" i="5" s="1"/>
  <c r="K7" i="5"/>
  <c r="L7" i="5"/>
  <c r="M7" i="5"/>
  <c r="N7" i="5"/>
  <c r="C7" i="5"/>
  <c r="H20" i="8" l="1"/>
  <c r="C4" i="9"/>
  <c r="F20" i="5"/>
  <c r="L20" i="5"/>
  <c r="D20" i="5"/>
  <c r="N20" i="5"/>
  <c r="K20" i="5"/>
  <c r="C20" i="5"/>
  <c r="C21" i="5" s="1"/>
  <c r="D19" i="5" s="1"/>
  <c r="D21" i="5" s="1"/>
  <c r="E19" i="5" s="1"/>
  <c r="E21" i="5" s="1"/>
  <c r="F19" i="5" s="1"/>
  <c r="F21" i="5" s="1"/>
  <c r="G19" i="5" s="1"/>
  <c r="G21" i="5" s="1"/>
  <c r="H19" i="5" s="1"/>
  <c r="H21" i="5" s="1"/>
  <c r="I19" i="5" s="1"/>
  <c r="I21" i="5" s="1"/>
  <c r="J19" i="5" s="1"/>
  <c r="J21" i="5" s="1"/>
  <c r="K19" i="5" s="1"/>
  <c r="K21" i="5" s="1"/>
  <c r="L19" i="5" s="1"/>
  <c r="L21" i="5" s="1"/>
  <c r="M19" i="5" s="1"/>
  <c r="M21" i="5" s="1"/>
  <c r="N19" i="5" s="1"/>
  <c r="N21" i="5" s="1"/>
  <c r="O21" i="5" s="1"/>
  <c r="F16" i="1" s="1"/>
  <c r="M20" i="5"/>
  <c r="I20" i="5"/>
  <c r="O17" i="5"/>
  <c r="O7" i="5"/>
  <c r="C12" i="7" s="1"/>
  <c r="O11" i="5"/>
  <c r="C5" i="6"/>
  <c r="C9" i="6" s="1"/>
  <c r="D16" i="4"/>
  <c r="E16" i="4"/>
  <c r="F16" i="4"/>
  <c r="G16" i="4"/>
  <c r="H16" i="4"/>
  <c r="I16" i="4"/>
  <c r="J16" i="4"/>
  <c r="K16" i="4"/>
  <c r="L16" i="4"/>
  <c r="M16" i="4"/>
  <c r="N16" i="4"/>
  <c r="C16" i="4"/>
  <c r="D20" i="3"/>
  <c r="E20" i="3"/>
  <c r="F20" i="3"/>
  <c r="G20" i="3"/>
  <c r="H20" i="3"/>
  <c r="I20" i="3"/>
  <c r="J20" i="3"/>
  <c r="K20" i="3"/>
  <c r="L20" i="3"/>
  <c r="M20" i="3"/>
  <c r="N20" i="3"/>
  <c r="C20" i="3"/>
  <c r="O19" i="3"/>
  <c r="D40" i="3" s="1"/>
  <c r="D13" i="4"/>
  <c r="E13" i="4"/>
  <c r="F13" i="4"/>
  <c r="G13" i="4"/>
  <c r="H13" i="4"/>
  <c r="I13" i="4"/>
  <c r="J13" i="4"/>
  <c r="K13" i="4"/>
  <c r="L13" i="4"/>
  <c r="M13" i="4"/>
  <c r="N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H7" i="2"/>
  <c r="C13" i="7" l="1"/>
  <c r="K15" i="1" s="1"/>
  <c r="O20" i="5"/>
  <c r="C11" i="7"/>
  <c r="D14" i="6"/>
  <c r="E14" i="6" s="1"/>
  <c r="F14" i="6" s="1"/>
  <c r="C3" i="9"/>
  <c r="C7" i="9" s="1"/>
  <c r="O20" i="3"/>
  <c r="C12" i="6"/>
  <c r="O12" i="4"/>
  <c r="D7" i="6" s="1"/>
  <c r="E7" i="6" s="1"/>
  <c r="F7" i="6" s="1"/>
  <c r="O16" i="4"/>
  <c r="D11" i="6" s="1"/>
  <c r="E11" i="6" s="1"/>
  <c r="F11" i="6" s="1"/>
  <c r="O13" i="4"/>
  <c r="D8" i="6" s="1"/>
  <c r="E8" i="6" s="1"/>
  <c r="F8" i="6" s="1"/>
  <c r="O18" i="3"/>
  <c r="D39" i="3" s="1"/>
  <c r="O17" i="3"/>
  <c r="D38" i="3" s="1"/>
  <c r="E38" i="3" s="1"/>
  <c r="F38" i="3" s="1"/>
  <c r="O16" i="3"/>
  <c r="D37" i="3" s="1"/>
  <c r="E37" i="3" s="1"/>
  <c r="F37" i="3" s="1"/>
  <c r="O11" i="3"/>
  <c r="D32" i="3" s="1"/>
  <c r="O12" i="3"/>
  <c r="D33" i="3" s="1"/>
  <c r="E33" i="3" s="1"/>
  <c r="F33" i="3" s="1"/>
  <c r="O13" i="3"/>
  <c r="D34" i="3" s="1"/>
  <c r="E34" i="3" s="1"/>
  <c r="F34" i="3" s="1"/>
  <c r="O14" i="3"/>
  <c r="D35" i="3" s="1"/>
  <c r="E35" i="3" s="1"/>
  <c r="F35" i="3" s="1"/>
  <c r="O15" i="3"/>
  <c r="D36" i="3" s="1"/>
  <c r="E36" i="3" s="1"/>
  <c r="F36" i="3" s="1"/>
  <c r="O4" i="3"/>
  <c r="D25" i="3" s="1"/>
  <c r="D33" i="2"/>
  <c r="E33" i="2" s="1"/>
  <c r="F33" i="2" s="1"/>
  <c r="D23" i="2"/>
  <c r="E23" i="2" s="1"/>
  <c r="F23" i="2" s="1"/>
  <c r="H8" i="2"/>
  <c r="D24" i="2" s="1"/>
  <c r="E24" i="2" s="1"/>
  <c r="F24" i="2" s="1"/>
  <c r="H9" i="2"/>
  <c r="D25" i="2" s="1"/>
  <c r="E25" i="2" s="1"/>
  <c r="F25" i="2" s="1"/>
  <c r="H10" i="2"/>
  <c r="D26" i="2" s="1"/>
  <c r="E26" i="2" s="1"/>
  <c r="F26" i="2" s="1"/>
  <c r="H11" i="2"/>
  <c r="D27" i="2" s="1"/>
  <c r="E27" i="2" s="1"/>
  <c r="F27" i="2" s="1"/>
  <c r="H12" i="2"/>
  <c r="D28" i="2" s="1"/>
  <c r="E28" i="2" s="1"/>
  <c r="F28" i="2" s="1"/>
  <c r="H13" i="2"/>
  <c r="D29" i="2" s="1"/>
  <c r="E29" i="2" s="1"/>
  <c r="F29" i="2" s="1"/>
  <c r="H14" i="2"/>
  <c r="H15" i="2"/>
  <c r="D31" i="2" s="1"/>
  <c r="E31" i="2" s="1"/>
  <c r="F31" i="2" s="1"/>
  <c r="H16" i="2"/>
  <c r="D32" i="2" s="1"/>
  <c r="E32" i="2" s="1"/>
  <c r="F32" i="2" s="1"/>
  <c r="H17" i="2"/>
  <c r="H6" i="2"/>
  <c r="H18" i="2" l="1"/>
  <c r="C11" i="11" s="1"/>
  <c r="C25" i="7" s="1"/>
  <c r="D41" i="3"/>
  <c r="C15" i="9"/>
  <c r="C16" i="7" s="1"/>
  <c r="K14" i="1" s="1"/>
  <c r="C14" i="9"/>
  <c r="C16" i="9"/>
  <c r="C17" i="7" s="1"/>
  <c r="I14" i="2"/>
  <c r="I17" i="2"/>
  <c r="C3" i="4" a="1"/>
  <c r="E40" i="3"/>
  <c r="F40" i="3" s="1"/>
  <c r="E32" i="3"/>
  <c r="F32" i="3" s="1"/>
  <c r="E39" i="3"/>
  <c r="F39" i="3" s="1"/>
  <c r="E25" i="3"/>
  <c r="O8" i="4"/>
  <c r="D4" i="6" s="1"/>
  <c r="I16" i="2"/>
  <c r="D30" i="2"/>
  <c r="E30" i="2" s="1"/>
  <c r="F30" i="2" s="1"/>
  <c r="I7" i="2"/>
  <c r="I15" i="2"/>
  <c r="I13" i="2"/>
  <c r="I12" i="2"/>
  <c r="I11" i="2"/>
  <c r="I10" i="2"/>
  <c r="I9" i="2"/>
  <c r="I8" i="2"/>
  <c r="D22" i="2"/>
  <c r="C3" i="4" l="1"/>
  <c r="E5" i="4"/>
  <c r="F5" i="4"/>
  <c r="G5" i="4"/>
  <c r="H5" i="4"/>
  <c r="L5" i="4"/>
  <c r="M5" i="4"/>
  <c r="N5" i="4"/>
  <c r="D5" i="4"/>
  <c r="I5" i="4"/>
  <c r="J5" i="4"/>
  <c r="K5" i="4"/>
  <c r="E41" i="3"/>
  <c r="E22" i="2"/>
  <c r="D34" i="2"/>
  <c r="F25" i="3"/>
  <c r="E4" i="6"/>
  <c r="F4" i="6" s="1"/>
  <c r="J9" i="4" l="1"/>
  <c r="J6" i="4"/>
  <c r="I6" i="4"/>
  <c r="I9" i="4"/>
  <c r="N9" i="4"/>
  <c r="N6" i="4"/>
  <c r="H6" i="4"/>
  <c r="H9" i="4"/>
  <c r="H10" i="4" s="1"/>
  <c r="K6" i="4"/>
  <c r="K9" i="4"/>
  <c r="K14" i="4" s="1"/>
  <c r="K17" i="4" s="1"/>
  <c r="K18" i="4" s="1"/>
  <c r="D9" i="4"/>
  <c r="D10" i="4" s="1"/>
  <c r="D6" i="4"/>
  <c r="G9" i="4"/>
  <c r="G14" i="4" s="1"/>
  <c r="G17" i="4" s="1"/>
  <c r="G18" i="4" s="1"/>
  <c r="G6" i="4"/>
  <c r="M9" i="4"/>
  <c r="M14" i="4" s="1"/>
  <c r="M17" i="4" s="1"/>
  <c r="M18" i="4" s="1"/>
  <c r="M6" i="4"/>
  <c r="L6" i="4"/>
  <c r="L9" i="4"/>
  <c r="L14" i="4" s="1"/>
  <c r="L17" i="4" s="1"/>
  <c r="L18" i="4" s="1"/>
  <c r="F9" i="4"/>
  <c r="F10" i="4" s="1"/>
  <c r="F6" i="4"/>
  <c r="E9" i="4"/>
  <c r="E10" i="4" s="1"/>
  <c r="E6" i="4"/>
  <c r="O3" i="4"/>
  <c r="C5" i="4"/>
  <c r="G10" i="4"/>
  <c r="M10" i="4"/>
  <c r="F22" i="2"/>
  <c r="E34" i="2"/>
  <c r="N14" i="4"/>
  <c r="N17" i="4" s="1"/>
  <c r="N18" i="4" s="1"/>
  <c r="N10" i="4"/>
  <c r="J14" i="4"/>
  <c r="J17" i="4" s="1"/>
  <c r="J18" i="4" s="1"/>
  <c r="J10" i="4"/>
  <c r="I14" i="4"/>
  <c r="I17" i="4" s="1"/>
  <c r="I18" i="4" s="1"/>
  <c r="I10" i="4"/>
  <c r="F14" i="4" l="1"/>
  <c r="F17" i="4" s="1"/>
  <c r="F18" i="4" s="1"/>
  <c r="O5" i="4"/>
  <c r="C9" i="4"/>
  <c r="C6" i="4"/>
  <c r="K10" i="4"/>
  <c r="D14" i="4"/>
  <c r="D17" i="4" s="1"/>
  <c r="D18" i="4" s="1"/>
  <c r="H14" i="4"/>
  <c r="H17" i="4" s="1"/>
  <c r="H18" i="4" s="1"/>
  <c r="L10" i="4"/>
  <c r="E14" i="4"/>
  <c r="E17" i="4" s="1"/>
  <c r="E18" i="4" s="1"/>
  <c r="C6" i="7"/>
  <c r="D11" i="1"/>
  <c r="C10" i="7"/>
  <c r="D3" i="6"/>
  <c r="C10" i="4" l="1"/>
  <c r="C14" i="4"/>
  <c r="O9" i="4"/>
  <c r="F11" i="1"/>
  <c r="O6" i="4"/>
  <c r="C7" i="7" s="1"/>
  <c r="K11" i="1" s="1"/>
  <c r="E3" i="6"/>
  <c r="F3" i="6" s="1"/>
  <c r="D5" i="6"/>
  <c r="O10" i="4" l="1"/>
  <c r="C8" i="7" s="1"/>
  <c r="K12" i="1" s="1"/>
  <c r="H11" i="1"/>
  <c r="C17" i="4"/>
  <c r="O14" i="4"/>
  <c r="E5" i="6"/>
  <c r="F5" i="6" s="1"/>
  <c r="D9" i="6"/>
  <c r="C18" i="4" l="1"/>
  <c r="O17" i="4"/>
  <c r="D12" i="6"/>
  <c r="E12" i="6" s="1"/>
  <c r="F12" i="6" s="1"/>
  <c r="E9" i="6"/>
  <c r="F9" i="6" s="1"/>
  <c r="D16" i="1" l="1"/>
  <c r="O18" i="4"/>
  <c r="C9" i="7" s="1"/>
  <c r="K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<sst xmlns="http://schemas.openxmlformats.org/spreadsheetml/2006/main" count="334" uniqueCount="217">
  <si>
    <t>Company Name</t>
  </si>
  <si>
    <t>Industry</t>
  </si>
  <si>
    <t>Reporting Month</t>
  </si>
  <si>
    <t>Prepared By</t>
  </si>
  <si>
    <t>MONTHLY MIS DASHBOARD</t>
  </si>
  <si>
    <t>Revenue</t>
  </si>
  <si>
    <t>EBITDA</t>
  </si>
  <si>
    <t>Net Profit</t>
  </si>
  <si>
    <t>Cash Balance</t>
  </si>
  <si>
    <t>Burn Rate</t>
  </si>
  <si>
    <t>EBITDA Margin %</t>
  </si>
  <si>
    <t>Net Margin %</t>
  </si>
  <si>
    <t>Current Ratio</t>
  </si>
  <si>
    <t>Runway</t>
  </si>
  <si>
    <t>Month</t>
  </si>
  <si>
    <t>Total Revenue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</si>
  <si>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</si>
  <si>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</si>
  <si>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</si>
  <si>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</si>
  <si>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</si>
  <si>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</si>
  <si>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</si>
  <si>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</si>
  <si>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</si>
  <si>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</si>
  <si>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</si>
  <si>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</si>
  <si>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</si>
  <si>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</si>
  <si>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Target Revenue</t>
  </si>
  <si>
    <t>Actual Revenue</t>
  </si>
  <si>
    <t>Variance</t>
  </si>
  <si>
    <t>Expense Head</t>
  </si>
  <si>
    <t>Professional Fees</t>
  </si>
  <si>
    <t>Miscellaneous</t>
  </si>
  <si>
    <t>Interest Expense</t>
  </si>
  <si>
    <t>Bank Charges</t>
  </si>
  <si>
    <t>Depreciation &amp; Amortization</t>
  </si>
  <si>
    <t>Total Expenses</t>
  </si>
  <si>
    <t>Budget</t>
  </si>
  <si>
    <t>Actual</t>
  </si>
  <si>
    <t>Particulars</t>
  </si>
  <si>
    <t>Interest &amp; Bank Charges</t>
  </si>
  <si>
    <t>Profit Before Tax (PBT)</t>
  </si>
  <si>
    <t>Tax Expense</t>
  </si>
  <si>
    <t>Provision for Tax</t>
  </si>
  <si>
    <t>Cash Received from Customers</t>
  </si>
  <si>
    <t>Payments to Suppliers</t>
  </si>
  <si>
    <t>Salary Payments</t>
  </si>
  <si>
    <t>Operating Expenses Paid</t>
  </si>
  <si>
    <t>Net Cash from Operations</t>
  </si>
  <si>
    <t>Purchase of Equipment</t>
  </si>
  <si>
    <t>Purchase of Assets</t>
  </si>
  <si>
    <t>Net Cash from Investing</t>
  </si>
  <si>
    <t>Capital Introduced</t>
  </si>
  <si>
    <t>Loan Received</t>
  </si>
  <si>
    <t>Loan Repayment</t>
  </si>
  <si>
    <t>Interest Paid</t>
  </si>
  <si>
    <t>Net Cash from Financing</t>
  </si>
  <si>
    <t>Opening Cash &amp; Cash Equivalents</t>
  </si>
  <si>
    <t>Change in Cash &amp; Cash Equivalents</t>
  </si>
  <si>
    <t>Closing Cash &amp; Cash Equivalents</t>
  </si>
  <si>
    <t>Variance %</t>
  </si>
  <si>
    <t>Operating Expenses</t>
  </si>
  <si>
    <t>Financial Expenses</t>
  </si>
  <si>
    <t>Depreciation</t>
  </si>
  <si>
    <t>Profit Before Tax</t>
  </si>
  <si>
    <t>Tax Provision</t>
  </si>
  <si>
    <t>Closing Cash Balance</t>
  </si>
  <si>
    <t>KPI / Ratio</t>
  </si>
  <si>
    <t>Value</t>
  </si>
  <si>
    <t>Financial KPIs:</t>
  </si>
  <si>
    <t>Revenue Growth %</t>
  </si>
  <si>
    <t>Net Profit Margin %</t>
  </si>
  <si>
    <t>Operating Expense Ratio %</t>
  </si>
  <si>
    <t>Runway (Months)</t>
  </si>
  <si>
    <t>Liquidity Ratios:</t>
  </si>
  <si>
    <t>Quick Ratio</t>
  </si>
  <si>
    <t>Previous Year Revenue</t>
  </si>
  <si>
    <t>ACCOUNTS RECEIVABLE</t>
  </si>
  <si>
    <t>Customer Name</t>
  </si>
  <si>
    <t>Outstanding Amount</t>
  </si>
  <si>
    <t>Status</t>
  </si>
  <si>
    <t>ACCOUNTS PAYABLE</t>
  </si>
  <si>
    <t>Vendor Name</t>
  </si>
  <si>
    <t>SUMMARY</t>
  </si>
  <si>
    <t>Amount</t>
  </si>
  <si>
    <t>Total Receivables</t>
  </si>
  <si>
    <t>Total Payables</t>
  </si>
  <si>
    <t>Net Working Capital Position</t>
  </si>
  <si>
    <t>Cash &amp; Bank Balance</t>
  </si>
  <si>
    <t>Accounts Receivable</t>
  </si>
  <si>
    <t>Inventory</t>
  </si>
  <si>
    <t>Other Current Assets</t>
  </si>
  <si>
    <t>Total Current Assets</t>
  </si>
  <si>
    <t>Accounts Payable</t>
  </si>
  <si>
    <t>Short-Term Borrowings</t>
  </si>
  <si>
    <t>Other Current Liabilities</t>
  </si>
  <si>
    <t>Total Current Liabilities</t>
  </si>
  <si>
    <t>Working Capital</t>
  </si>
  <si>
    <t>→ Manual Input Required</t>
  </si>
  <si>
    <t>GENERAL INSTRUCTIONS</t>
  </si>
  <si>
    <t>• Cells highlighted in Light Blue are designated for manual data entry unless otherwise specified.</t>
  </si>
  <si>
    <t>• While entering numerical values, do not use commas (,) or negative signs (-) unless specifically instructed.</t>
  </si>
  <si>
    <t>• All other cells contain formulas and should not be modified.</t>
  </si>
  <si>
    <t>• It is recommended to update all relevant input sheets before reviewing the Dashboard and KPI outputs.</t>
  </si>
  <si>
    <t>The only manual inputs required in this sheet are the following fields under the Basic Details section:</t>
  </si>
  <si>
    <t>• Company Name</t>
  </si>
  <si>
    <t>• Industry</t>
  </si>
  <si>
    <t>• Reporting Month</t>
  </si>
  <si>
    <t>• Prepared By</t>
  </si>
  <si>
    <t>These fields are optional but recommended for completeness and better presentation of the dashboard.</t>
  </si>
  <si>
    <t>This sheet contains two tables:</t>
  </si>
  <si>
    <t>1. Revenue Distribution Table</t>
  </si>
  <si>
    <t>Enter revenue figures under the appropriate revenue streams for each month.</t>
  </si>
  <si>
    <t>2. Revenue Variance Table</t>
  </si>
  <si>
    <t>Enter the target total revenue for each month. The actual revenue will be calculated automatically based on the revenue entered in the Revenue Distribution Table.</t>
  </si>
  <si>
    <t>1. Expense Table</t>
  </si>
  <si>
    <t>Enter monthly expenses under the respective expense heads.</t>
  </si>
  <si>
    <t>2. Expense Variance Table</t>
  </si>
  <si>
    <t>Enter the budgeted annual expense amount against each expense head. Variance calculations will be generated automatically.</t>
  </si>
  <si>
    <t>Please note the following while entering data:</t>
  </si>
  <si>
    <t>• All cash outflows must be entered with a negative (-) sign.</t>
  </si>
  <si>
    <t>• Cash inflows should be entered as positive values.</t>
  </si>
  <si>
    <t>• Enter the Opening Cash Balance in the designated input cell.</t>
  </si>
  <si>
    <t>• All cash flow figures should reflect actual cash movements during the period.</t>
  </si>
  <si>
    <t>Only one manual input is required in this sheet:</t>
  </si>
  <si>
    <t>• Budgeted Closing Cash Balance</t>
  </si>
  <si>
    <t>Enter the expected year-end cash balance in the designated input cell.</t>
  </si>
  <si>
    <t>This sheet contains separate tables for Receivables and Payables.</t>
  </si>
  <si>
    <t>For each customer/vendor, enter:</t>
  </si>
  <si>
    <t>• Customer/Vendor Name</t>
  </si>
  <si>
    <t>• Outstanding Amount</t>
  </si>
  <si>
    <t>Status Column</t>
  </si>
  <si>
    <t>The Status column contains a drop-down list with the following options:</t>
  </si>
  <si>
    <t>• Unpaid</t>
  </si>
  <si>
    <t>• Partially Paid</t>
  </si>
  <si>
    <t>• Paid</t>
  </si>
  <si>
    <t>Select the appropriate status for each customer or vendor.</t>
  </si>
  <si>
    <t>Additional Notes:</t>
  </si>
  <si>
    <t>• To remove a selected status, simply press the Delete key.</t>
  </si>
  <si>
    <t>• To add more customers or vendors, insert additional rows anywhere between the first and last row of the respective table.</t>
  </si>
  <si>
    <t>Enter the following values in the designated input cells:</t>
  </si>
  <si>
    <t>• Inventory</t>
  </si>
  <si>
    <t>• Other Current Assets (if any)</t>
  </si>
  <si>
    <t>• Short-Term Borrowings</t>
  </si>
  <si>
    <t>• Other Current Liabilities (if any)</t>
  </si>
  <si>
    <t>The figures entered should represent either:</t>
  </si>
  <si>
    <t>• The current financial year-end balances, or</t>
  </si>
  <si>
    <t>• The latest available reported balances, as applicable.</t>
  </si>
  <si>
    <t>IMPORTANT NOTE</t>
  </si>
  <si>
    <t>DASHBOARD SHEET</t>
  </si>
  <si>
    <t>REVENUE MIS SHEET</t>
  </si>
  <si>
    <t>EXPENSE MIS SHEET</t>
  </si>
  <si>
    <t>BUDGET VS ACTUAL SHEET</t>
  </si>
  <si>
    <t>RECEIVABLES &amp; PAYABLES TRACKER SHEET</t>
  </si>
  <si>
    <t>WORKING CAPITAL INPUTS SHEET</t>
  </si>
  <si>
    <t>CASH FLOW STATEMENT SHEET (CFS)</t>
  </si>
  <si>
    <t>The Dashboard, P&amp;L Statement, KPI &amp; Ratio Analysis, and various summary sections are automatically populated based on the information entered in the input sheets.</t>
  </si>
  <si>
    <t>Please ensure all relevant data has been updated before reviewing the outputs.</t>
  </si>
  <si>
    <t>Other Revenue</t>
  </si>
  <si>
    <t>Revenue Stream Legend:</t>
  </si>
  <si>
    <r>
      <t xml:space="preserve">• </t>
    </r>
    <r>
      <rPr>
        <b/>
        <sz val="11"/>
        <color theme="1"/>
        <rFont val="Calibri"/>
        <family val="2"/>
        <scheme val="minor"/>
      </rPr>
      <t>Other Revenue</t>
    </r>
    <r>
      <rPr>
        <sz val="11"/>
        <color theme="1"/>
        <rFont val="Calibri"/>
        <family val="2"/>
        <scheme val="minor"/>
      </rPr>
      <t xml:space="preserve"> – Any revenue not covered under the above categories.</t>
    </r>
  </si>
  <si>
    <t>GENERAL KPIs / RATIOS</t>
  </si>
  <si>
    <t>INDUSTRY-SPECIFIC KPIs / RATIOS</t>
  </si>
  <si>
    <t>STARTUP MIS TEMPLATE FOR MANUFACTURING BUSINESS — INSTRUCTIONS FOR USE</t>
  </si>
  <si>
    <t>Product Sales</t>
  </si>
  <si>
    <t>Contract Manufacturing Revenue</t>
  </si>
  <si>
    <t>Export Sales</t>
  </si>
  <si>
    <t>Service &amp; Maintenance Revenue</t>
  </si>
  <si>
    <r>
      <t xml:space="preserve">• </t>
    </r>
    <r>
      <rPr>
        <b/>
        <sz val="11"/>
        <color theme="1"/>
        <rFont val="Calibri"/>
        <family val="2"/>
        <scheme val="minor"/>
      </rPr>
      <t>Product Sales</t>
    </r>
    <r>
      <rPr>
        <sz val="11"/>
        <color theme="1"/>
        <rFont val="Calibri"/>
        <family val="2"/>
        <scheme val="minor"/>
      </rPr>
      <t xml:space="preserve"> – Revenue generated from the sale of manufactured products.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</si>
  <si>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Contract Manufacturing Revenue</t>
    </r>
    <r>
      <rPr>
        <sz val="11"/>
        <color theme="1"/>
        <rFont val="Calibri"/>
        <family val="2"/>
        <scheme val="minor"/>
      </rPr>
      <t xml:space="preserve"> – Revenue earned from manufacturing products for third-party customers.</t>
    </r>
  </si>
  <si>
    <r>
      <t xml:space="preserve">• </t>
    </r>
    <r>
      <rPr>
        <b/>
        <sz val="11"/>
        <color theme="1"/>
        <rFont val="Calibri"/>
        <family val="2"/>
        <scheme val="minor"/>
      </rPr>
      <t>Export Sales</t>
    </r>
    <r>
      <rPr>
        <sz val="11"/>
        <color theme="1"/>
        <rFont val="Calibri"/>
        <family val="2"/>
        <scheme val="minor"/>
      </rPr>
      <t xml:space="preserve"> – Revenue generated from international customers and export markets.</t>
    </r>
  </si>
  <si>
    <r>
      <t xml:space="preserve">• </t>
    </r>
    <r>
      <rPr>
        <b/>
        <sz val="11"/>
        <color theme="1"/>
        <rFont val="Calibri"/>
        <family val="2"/>
        <scheme val="minor"/>
      </rPr>
      <t>Service &amp; Maintenance Revenue</t>
    </r>
    <r>
      <rPr>
        <sz val="11"/>
        <color theme="1"/>
        <rFont val="Calibri"/>
        <family val="2"/>
        <scheme val="minor"/>
      </rPr>
      <t xml:space="preserve"> – Revenue earned from installation, maintenance, repair, and after-sales services.</t>
    </r>
  </si>
  <si>
    <t>Raw Material Cost</t>
  </si>
  <si>
    <t>Direct Labour Cost</t>
  </si>
  <si>
    <t>Power &amp; Fuel</t>
  </si>
  <si>
    <t>Factory Overheads</t>
  </si>
  <si>
    <t>Repairs &amp; Maintenance</t>
  </si>
  <si>
    <t>Salaries &amp; Administrative Expenses</t>
  </si>
  <si>
    <t>Selling &amp; Marketing Expenses</t>
  </si>
  <si>
    <t>Logistics &amp; Transportation</t>
  </si>
  <si>
    <t>Production Quantity</t>
  </si>
  <si>
    <t>Units Sold</t>
  </si>
  <si>
    <t>Production Capacity</t>
  </si>
  <si>
    <t>Defective Units</t>
  </si>
  <si>
    <t>Capacity Utilization %</t>
  </si>
  <si>
    <t>Sales Realization per Unit</t>
  </si>
  <si>
    <t>Defect Rate %</t>
  </si>
  <si>
    <t>Production Efficiency %</t>
  </si>
  <si>
    <t>MANUFACTURING METRICS</t>
  </si>
  <si>
    <t>Manufacturing Metrics – Input Legend:</t>
  </si>
  <si>
    <r>
      <t xml:space="preserve">• </t>
    </r>
    <r>
      <rPr>
        <b/>
        <sz val="11"/>
        <color theme="1"/>
        <rFont val="Calibri"/>
        <family val="2"/>
        <scheme val="minor"/>
      </rPr>
      <t>Production Quantity</t>
    </r>
    <r>
      <rPr>
        <sz val="11"/>
        <color theme="1"/>
        <rFont val="Calibri"/>
        <family val="2"/>
        <scheme val="minor"/>
      </rPr>
      <t xml:space="preserve"> – Total number of units produced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</si>
  <si>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Units Sold</t>
    </r>
    <r>
      <rPr>
        <sz val="11"/>
        <color theme="1"/>
        <rFont val="Calibri"/>
        <family val="2"/>
        <scheme val="minor"/>
      </rPr>
      <t xml:space="preserve"> – Total number of units sold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</si>
  <si>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Production Capacity</t>
    </r>
    <r>
      <rPr>
        <sz val="11"/>
        <color theme="1"/>
        <rFont val="Calibri"/>
        <family val="2"/>
        <scheme val="minor"/>
      </rPr>
      <t xml:space="preserve"> – Maximum number of units that can be produced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</si>
  <si>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Defective Units</t>
    </r>
    <r>
      <rPr>
        <sz val="11"/>
        <color theme="1"/>
        <rFont val="Calibri"/>
        <family val="2"/>
        <scheme val="minor"/>
      </rPr>
      <t xml:space="preserve"> – Number of units produced that failed quality standards or could not be sold.</t>
    </r>
  </si>
  <si>
    <t>Direct Costs (COGS):</t>
  </si>
  <si>
    <t>Operating Expenses:</t>
  </si>
  <si>
    <t>Total Direct Costs (COGS)</t>
  </si>
  <si>
    <t>Gross Profit</t>
  </si>
  <si>
    <t>Total Operating Expenses</t>
  </si>
  <si>
    <t>Gross Margin %</t>
  </si>
  <si>
    <t>ABC Pvt Ltd</t>
  </si>
  <si>
    <t>XXX</t>
  </si>
  <si>
    <t>Manufacturing</t>
  </si>
  <si>
    <t>A</t>
  </si>
  <si>
    <t>B</t>
  </si>
  <si>
    <t>C</t>
  </si>
  <si>
    <t>Outstanding</t>
  </si>
  <si>
    <t>Partially Received</t>
  </si>
  <si>
    <t>Received</t>
  </si>
  <si>
    <t>X</t>
  </si>
  <si>
    <t>Y</t>
  </si>
  <si>
    <t>Z</t>
  </si>
  <si>
    <t>Partially 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</si>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</sst>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General\ &quot;months&quot;"/>
    <numFmt numFmtId="166" formatCode="0.0"/>
    <numFmt numFmtId="167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2" borderId="1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164" fontId="0" fillId="0" borderId="3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/>
    <xf numFmtId="3" fontId="0" fillId="3" borderId="5" xfId="0" applyNumberFormat="1" applyFill="1" applyBorder="1" applyAlignment="1">
      <alignment horizontal="center"/>
    </xf>
    <xf numFmtId="0" fontId="3" fillId="0" borderId="7" xfId="0" applyFont="1" applyBorder="1"/>
    <xf numFmtId="0" fontId="3" fillId="8" borderId="7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8" xfId="0" applyFont="1" applyBorder="1"/>
    <xf numFmtId="0" fontId="12" fillId="0" borderId="4" xfId="0" applyFont="1" applyBorder="1"/>
    <xf numFmtId="9" fontId="12" fillId="0" borderId="4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1" xfId="0" applyNumberForma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9" fontId="12" fillId="0" borderId="14" xfId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3" fillId="8" borderId="12" xfId="1" applyNumberFormat="1" applyFont="1" applyFill="1" applyBorder="1" applyAlignment="1">
      <alignment horizontal="center"/>
    </xf>
    <xf numFmtId="9" fontId="12" fillId="0" borderId="15" xfId="1" applyFont="1" applyBorder="1" applyAlignment="1">
      <alignment horizontal="center"/>
    </xf>
    <xf numFmtId="9" fontId="2" fillId="2" borderId="16" xfId="1" applyFont="1" applyFill="1" applyBorder="1" applyAlignment="1">
      <alignment horizontal="center"/>
    </xf>
    <xf numFmtId="164" fontId="1" fillId="0" borderId="17" xfId="1" applyNumberFormat="1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9" fontId="12" fillId="0" borderId="19" xfId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164" fontId="1" fillId="0" borderId="20" xfId="1" applyNumberFormat="1" applyFont="1" applyBorder="1" applyAlignment="1">
      <alignment horizontal="center"/>
    </xf>
    <xf numFmtId="164" fontId="3" fillId="8" borderId="21" xfId="1" applyNumberFormat="1" applyFont="1" applyFill="1" applyBorder="1" applyAlignment="1">
      <alignment horizontal="center"/>
    </xf>
    <xf numFmtId="9" fontId="12" fillId="0" borderId="9" xfId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3" fillId="8" borderId="22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8" borderId="23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/>
    <xf numFmtId="164" fontId="10" fillId="8" borderId="12" xfId="0" applyNumberFormat="1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3" fillId="0" borderId="1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2" fillId="2" borderId="1" xfId="0" applyFont="1" applyFill="1" applyBorder="1" applyAlignment="1">
      <alignment horizontal="left"/>
    </xf>
    <xf numFmtId="0" fontId="0" fillId="0" borderId="14" xfId="0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10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64" fontId="3" fillId="0" borderId="18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  <color rgb="FFDDEBF7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</a:t>
            </a:r>
            <a:r>
              <a:rPr lang="en-IN" sz="1400" b="1" baseline="0">
                <a:solidFill>
                  <a:schemeClr val="tx1"/>
                </a:solidFill>
              </a:rPr>
              <a:t> Trend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'P&amp;L'!$C$3:$N$3</c:f>
              <c:numCache>
                <c:formatCode>#,##0;\(#,##0\);\-</c:formatCode>
                <c:ptCount val="12"/>
                <c:pt idx="0">
                  <c:v>400000</c:v>
                </c:pt>
                <c:pt idx="1">
                  <c:v>425000</c:v>
                </c:pt>
                <c:pt idx="2">
                  <c:v>450000</c:v>
                </c:pt>
                <c:pt idx="3">
                  <c:v>475000</c:v>
                </c:pt>
                <c:pt idx="4">
                  <c:v>500000</c:v>
                </c:pt>
                <c:pt idx="5">
                  <c:v>525000</c:v>
                </c:pt>
                <c:pt idx="6">
                  <c:v>550000</c:v>
                </c:pt>
                <c:pt idx="7">
                  <c:v>575000</c:v>
                </c:pt>
                <c:pt idx="8">
                  <c:v>600000</c:v>
                </c:pt>
                <c:pt idx="9">
                  <c:v>625000</c:v>
                </c:pt>
                <c:pt idx="10">
                  <c:v>650000</c:v>
                </c:pt>
                <c:pt idx="11">
                  <c:v>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C-4FDE-8A30-B35D4926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42432"/>
        <c:axId val="1505834272"/>
      </c:lineChart>
      <c:catAx>
        <c:axId val="1505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4272"/>
        <c:crosses val="autoZero"/>
        <c:auto val="1"/>
        <c:lblAlgn val="ctr"/>
        <c:lblOffset val="100"/>
        <c:noMultiLvlLbl val="0"/>
      </c:catAx>
      <c:valAx>
        <c:axId val="15058342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Expense</a:t>
            </a:r>
            <a:r>
              <a:rPr lang="en-US" sz="1400" b="1" baseline="0">
                <a:solidFill>
                  <a:sysClr val="windowText" lastClr="000000"/>
                </a:solidFill>
              </a:rPr>
              <a:t> Breakdown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MIS'!$O$2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5-4F6D-8799-387748163736}"/>
              </c:ext>
            </c:extLst>
          </c:dPt>
          <c:cat>
            <c:strRef>
              <c:f>'Expense MIS'!$B$4:$B$19</c:f>
              <c:strCache>
                <c:ptCount val="16"/>
                <c:pt idx="0">
                  <c:v>Raw Material Cost</c:v>
                </c:pt>
                <c:pt idx="1">
                  <c:v>Direct Labour Cost</c:v>
                </c:pt>
                <c:pt idx="2">
                  <c:v>Power &amp; Fuel</c:v>
                </c:pt>
                <c:pt idx="3">
                  <c:v>Factory Overheads</c:v>
                </c:pt>
                <c:pt idx="5">
                  <c:v>Operating Expenses:</c:v>
                </c:pt>
                <c:pt idx="6">
                  <c:v>Repairs &amp; Maintenance</c:v>
                </c:pt>
                <c:pt idx="7">
                  <c:v>Salaries &amp; Administrative Expenses</c:v>
                </c:pt>
                <c:pt idx="8">
                  <c:v>Selling &amp; Marketing Expenses</c:v>
                </c:pt>
                <c:pt idx="9">
                  <c:v>Logistics &amp; Transportation</c:v>
                </c:pt>
                <c:pt idx="10">
                  <c:v>Professional Fees</c:v>
                </c:pt>
                <c:pt idx="11">
                  <c:v>Miscellaneous</c:v>
                </c:pt>
                <c:pt idx="12">
                  <c:v>Interest Expense</c:v>
                </c:pt>
                <c:pt idx="13">
                  <c:v>Bank Charges</c:v>
                </c:pt>
                <c:pt idx="14">
                  <c:v>Depreciation &amp; Amortization</c:v>
                </c:pt>
                <c:pt idx="15">
                  <c:v>Provision for Tax</c:v>
                </c:pt>
              </c:strCache>
            </c:strRef>
          </c:cat>
          <c:val>
            <c:numRef>
              <c:f>'Expense MIS'!$O$4:$O$19</c:f>
              <c:numCache>
                <c:formatCode>#,##0;\(#,##0\);\-</c:formatCode>
                <c:ptCount val="16"/>
                <c:pt idx="0">
                  <c:v>344888.82424629823</c:v>
                </c:pt>
                <c:pt idx="1">
                  <c:v>551822.11879407719</c:v>
                </c:pt>
                <c:pt idx="2">
                  <c:v>27591.10593970387</c:v>
                </c:pt>
                <c:pt idx="3">
                  <c:v>68977.764849259649</c:v>
                </c:pt>
                <c:pt idx="6">
                  <c:v>13795.552969851935</c:v>
                </c:pt>
                <c:pt idx="7">
                  <c:v>68977.764849259649</c:v>
                </c:pt>
                <c:pt idx="8">
                  <c:v>41386.658909555787</c:v>
                </c:pt>
                <c:pt idx="9">
                  <c:v>68977.764849259649</c:v>
                </c:pt>
                <c:pt idx="10">
                  <c:v>27591.10593970387</c:v>
                </c:pt>
                <c:pt idx="11">
                  <c:v>27591.10593970387</c:v>
                </c:pt>
                <c:pt idx="12">
                  <c:v>68977.764849259649</c:v>
                </c:pt>
                <c:pt idx="13">
                  <c:v>6897.7764849259675</c:v>
                </c:pt>
                <c:pt idx="14">
                  <c:v>137955.5296985193</c:v>
                </c:pt>
                <c:pt idx="15">
                  <c:v>137955.5296985193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214-8974-FB6093D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186592"/>
        <c:axId val="1712184672"/>
      </c:barChart>
      <c:catAx>
        <c:axId val="171218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4672"/>
        <c:crosses val="autoZero"/>
        <c:auto val="1"/>
        <c:lblAlgn val="ctr"/>
        <c:lblOffset val="100"/>
        <c:noMultiLvlLbl val="0"/>
      </c:catAx>
      <c:valAx>
        <c:axId val="171218467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'P&amp;L'!$B$9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'P&amp;L'!$C$9:$N$9</c:f>
              <c:numCache>
                <c:formatCode>#,##0;\(#,##0\);\-</c:formatCode>
                <c:ptCount val="12"/>
                <c:pt idx="0">
                  <c:v>284500</c:v>
                </c:pt>
                <c:pt idx="1">
                  <c:v>306612.5</c:v>
                </c:pt>
                <c:pt idx="2">
                  <c:v>328652.8125</c:v>
                </c:pt>
                <c:pt idx="3">
                  <c:v>350619.1328125</c:v>
                </c:pt>
                <c:pt idx="4">
                  <c:v>372509.61113281257</c:v>
                </c:pt>
                <c:pt idx="5">
                  <c:v>394322.35141113284</c:v>
                </c:pt>
                <c:pt idx="6">
                  <c:v>416055.41019641119</c:v>
                </c:pt>
                <c:pt idx="7">
                  <c:v>437706.79545132152</c:v>
                </c:pt>
                <c:pt idx="8">
                  <c:v>459274.46533760452</c:v>
                </c:pt>
                <c:pt idx="9">
                  <c:v>480756.32697104465</c:v>
                </c:pt>
                <c:pt idx="10">
                  <c:v>502150.23514532082</c:v>
                </c:pt>
                <c:pt idx="11">
                  <c:v>523453.99102395389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F-4974-B65E-1CBC6795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164992"/>
        <c:axId val="1712160672"/>
      </c:lineChart>
      <c:catAx>
        <c:axId val="1712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0672"/>
        <c:crosses val="autoZero"/>
        <c:auto val="1"/>
        <c:lblAlgn val="ctr"/>
        <c:lblOffset val="100"/>
        <c:noMultiLvlLbl val="0"/>
      </c:catAx>
      <c:valAx>
        <c:axId val="17121606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19</xdr:row>
      <xdr:rowOff>185056</xdr:rowOff>
    </xdr:from>
    <xdr:to>
      <xdr:col>11</xdr:col>
      <xdr:colOff>21771</xdr:colOff>
      <xdr:row>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3449-39F2-4F49-A314-736741823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259743</xdr:colOff>
      <xdr:row>39</xdr:row>
      <xdr:rowOff>86505</xdr:rowOff>
    </xdr:from>
    <xdr:to>
      <xdr:col>7</xdr:col>
      <xdr:colOff>40951</xdr:colOff>
      <xdr:row>59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88BB-6041-404C-8917-686979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206828</xdr:colOff>
      <xdr:row>39</xdr:row>
      <xdr:rowOff>97971</xdr:rowOff>
    </xdr:from>
    <xdr:to>
      <xdr:col>13</xdr:col>
      <xdr:colOff>21771</xdr:colOff>
      <xdr:row>59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37A6F-F6A3-4FFA-8B8A-2337DDEA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E2D-64F4-4CE1-8D9D-510A78794D26}">
  <sheetPr>
    <tabColor theme="0" tint="-0.249977111117893"/>
  </sheetPr>
  <dimension ref="B2:S117"/>
  <sheetViews>
    <sheetView showGridLines="0" tabSelected="1" zoomScaleNormal="100" workbookViewId="0">
      <selection activeCell="G18" sqref="G18"/>
    </sheetView>
  </sheetViews>
  <sheetFormatPr defaultRowHeight="14.4" x14ac:dyDescent="0.3"/>
  <cols>
    <col min="1" max="1" width="1.77734375" customWidth="1"/>
  </cols>
  <sheetData>
    <row r="2" spans="2:19" x14ac:dyDescent="0.3">
      <c r="B2" s="123"/>
      <c r="C2" s="124" t="s">
        <v>101</v>
      </c>
    </row>
    <row r="4" spans="2:19" ht="21" x14ac:dyDescent="0.4">
      <c r="B4" s="149" t="s">
        <v>166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</row>
    <row r="6" spans="2:19" ht="18" x14ac:dyDescent="0.35">
      <c r="B6" s="126" t="s">
        <v>102</v>
      </c>
    </row>
    <row r="8" spans="2:19" x14ac:dyDescent="0.3">
      <c r="B8" t="s">
        <v>103</v>
      </c>
    </row>
    <row r="9" spans="2:19" x14ac:dyDescent="0.3">
      <c r="B9" t="s">
        <v>104</v>
      </c>
    </row>
    <row r="10" spans="2:19" x14ac:dyDescent="0.3">
      <c r="B10" t="s">
        <v>105</v>
      </c>
    </row>
    <row r="11" spans="2:19" x14ac:dyDescent="0.3">
      <c r="B11" t="s">
        <v>106</v>
      </c>
    </row>
    <row r="13" spans="2:19" ht="18" x14ac:dyDescent="0.35">
      <c r="B13" s="126" t="s">
        <v>152</v>
      </c>
    </row>
    <row r="15" spans="2:19" x14ac:dyDescent="0.3">
      <c r="B15" t="s">
        <v>107</v>
      </c>
    </row>
    <row r="17" spans="2:2" x14ac:dyDescent="0.3">
      <c r="B17" t="s">
        <v>108</v>
      </c>
    </row>
    <row r="18" spans="2:2" x14ac:dyDescent="0.3">
      <c r="B18" t="s">
        <v>109</v>
      </c>
    </row>
    <row r="19" spans="2:2" x14ac:dyDescent="0.3">
      <c r="B19" t="s">
        <v>110</v>
      </c>
    </row>
    <row r="20" spans="2:2" x14ac:dyDescent="0.3">
      <c r="B20" t="s">
        <v>111</v>
      </c>
    </row>
    <row r="22" spans="2:2" x14ac:dyDescent="0.3">
      <c r="B22" t="s">
        <v>112</v>
      </c>
    </row>
    <row r="24" spans="2:2" ht="18" x14ac:dyDescent="0.35">
      <c r="B24" s="126" t="s">
        <v>153</v>
      </c>
    </row>
    <row r="26" spans="2:2" x14ac:dyDescent="0.3">
      <c r="B26" t="s">
        <v>113</v>
      </c>
    </row>
    <row r="27" spans="2:2" x14ac:dyDescent="0.3">
      <c r="B27" s="125"/>
    </row>
    <row r="28" spans="2:2" x14ac:dyDescent="0.3">
      <c r="B28" s="125" t="s">
        <v>114</v>
      </c>
    </row>
    <row r="29" spans="2:2" x14ac:dyDescent="0.3">
      <c r="B29" s="125" t="s">
        <v>115</v>
      </c>
    </row>
    <row r="30" spans="2:2" x14ac:dyDescent="0.3">
      <c r="B30" s="125"/>
    </row>
    <row r="31" spans="2:2" x14ac:dyDescent="0.3">
      <c r="B31" s="125" t="s">
        <v>116</v>
      </c>
    </row>
    <row r="32" spans="2:2" x14ac:dyDescent="0.3">
      <c r="B32" s="125" t="s">
        <v>117</v>
      </c>
    </row>
    <row r="34" spans="2:12" x14ac:dyDescent="0.3">
      <c r="B34" s="130" t="s">
        <v>162</v>
      </c>
      <c r="C34" s="131"/>
      <c r="D34" s="131"/>
      <c r="E34" s="131"/>
      <c r="F34" s="131"/>
      <c r="G34" s="131"/>
      <c r="H34" s="131"/>
      <c r="I34" s="131"/>
      <c r="J34" s="131"/>
      <c r="K34" s="131"/>
      <c r="L34" s="132"/>
    </row>
    <row r="35" spans="2:12" x14ac:dyDescent="0.3">
      <c r="B35" s="128" t="s">
        <v>171</v>
      </c>
      <c r="L35" s="133"/>
    </row>
    <row r="36" spans="2:12" x14ac:dyDescent="0.3">
      <c r="B36" s="128" t="s">
        <v>172</v>
      </c>
      <c r="L36" s="133"/>
    </row>
    <row r="37" spans="2:12" x14ac:dyDescent="0.3">
      <c r="B37" s="128" t="s">
        <v>173</v>
      </c>
      <c r="L37" s="133"/>
    </row>
    <row r="38" spans="2:12" x14ac:dyDescent="0.3">
      <c r="B38" s="128" t="s">
        <v>174</v>
      </c>
      <c r="L38" s="133"/>
    </row>
    <row r="39" spans="2:12" x14ac:dyDescent="0.3">
      <c r="B39" s="129" t="s">
        <v>163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5"/>
    </row>
    <row r="41" spans="2:12" ht="18" x14ac:dyDescent="0.35">
      <c r="B41" s="126" t="s">
        <v>154</v>
      </c>
    </row>
    <row r="43" spans="2:12" x14ac:dyDescent="0.3">
      <c r="B43" t="s">
        <v>113</v>
      </c>
    </row>
    <row r="44" spans="2:12" x14ac:dyDescent="0.3">
      <c r="B44" s="125"/>
    </row>
    <row r="45" spans="2:12" x14ac:dyDescent="0.3">
      <c r="B45" s="125" t="s">
        <v>118</v>
      </c>
    </row>
    <row r="46" spans="2:12" x14ac:dyDescent="0.3">
      <c r="B46" s="125" t="s">
        <v>119</v>
      </c>
    </row>
    <row r="47" spans="2:12" x14ac:dyDescent="0.3">
      <c r="B47" s="125"/>
    </row>
    <row r="48" spans="2:12" x14ac:dyDescent="0.3">
      <c r="B48" s="125" t="s">
        <v>120</v>
      </c>
    </row>
    <row r="49" spans="2:11" x14ac:dyDescent="0.3">
      <c r="B49" s="125" t="s">
        <v>121</v>
      </c>
    </row>
    <row r="51" spans="2:11" ht="18" x14ac:dyDescent="0.35">
      <c r="B51" s="126" t="s">
        <v>191</v>
      </c>
    </row>
    <row r="53" spans="2:11" x14ac:dyDescent="0.3">
      <c r="B53" s="130" t="s">
        <v>192</v>
      </c>
      <c r="C53" s="131"/>
      <c r="D53" s="131"/>
      <c r="E53" s="131"/>
      <c r="F53" s="131"/>
      <c r="G53" s="131"/>
      <c r="H53" s="131"/>
      <c r="I53" s="131"/>
      <c r="J53" s="131"/>
      <c r="K53" s="132"/>
    </row>
    <row r="54" spans="2:11" x14ac:dyDescent="0.3">
      <c r="B54" s="136" t="s">
        <v>193</v>
      </c>
      <c r="K54" s="133"/>
    </row>
    <row r="55" spans="2:11" x14ac:dyDescent="0.3">
      <c r="B55" s="136" t="s">
        <v>194</v>
      </c>
      <c r="K55" s="133"/>
    </row>
    <row r="56" spans="2:11" x14ac:dyDescent="0.3">
      <c r="B56" s="136" t="s">
        <v>195</v>
      </c>
      <c r="K56" s="133"/>
    </row>
    <row r="57" spans="2:11" x14ac:dyDescent="0.3">
      <c r="B57" s="138" t="s">
        <v>196</v>
      </c>
      <c r="C57" s="134"/>
      <c r="D57" s="134"/>
      <c r="E57" s="134"/>
      <c r="F57" s="134"/>
      <c r="G57" s="134"/>
      <c r="H57" s="134"/>
      <c r="I57" s="134"/>
      <c r="J57" s="134"/>
      <c r="K57" s="135"/>
    </row>
    <row r="59" spans="2:11" ht="18" x14ac:dyDescent="0.35">
      <c r="B59" s="126" t="s">
        <v>158</v>
      </c>
    </row>
    <row r="61" spans="2:11" x14ac:dyDescent="0.3">
      <c r="B61" t="s">
        <v>122</v>
      </c>
    </row>
    <row r="63" spans="2:11" x14ac:dyDescent="0.3">
      <c r="B63" t="s">
        <v>123</v>
      </c>
    </row>
    <row r="64" spans="2:11" x14ac:dyDescent="0.3">
      <c r="B64" t="s">
        <v>124</v>
      </c>
    </row>
    <row r="65" spans="2:2" x14ac:dyDescent="0.3">
      <c r="B65" t="s">
        <v>125</v>
      </c>
    </row>
    <row r="66" spans="2:2" x14ac:dyDescent="0.3">
      <c r="B66" t="s">
        <v>126</v>
      </c>
    </row>
    <row r="68" spans="2:2" ht="18" x14ac:dyDescent="0.35">
      <c r="B68" s="126" t="s">
        <v>155</v>
      </c>
    </row>
    <row r="70" spans="2:2" x14ac:dyDescent="0.3">
      <c r="B70" t="s">
        <v>127</v>
      </c>
    </row>
    <row r="72" spans="2:2" x14ac:dyDescent="0.3">
      <c r="B72" t="s">
        <v>128</v>
      </c>
    </row>
    <row r="74" spans="2:2" x14ac:dyDescent="0.3">
      <c r="B74" t="s">
        <v>129</v>
      </c>
    </row>
    <row r="76" spans="2:2" ht="18" x14ac:dyDescent="0.35">
      <c r="B76" s="126" t="s">
        <v>156</v>
      </c>
    </row>
    <row r="78" spans="2:2" x14ac:dyDescent="0.3">
      <c r="B78" t="s">
        <v>130</v>
      </c>
    </row>
    <row r="80" spans="2:2" x14ac:dyDescent="0.3">
      <c r="B80" t="s">
        <v>131</v>
      </c>
    </row>
    <row r="82" spans="2:2" x14ac:dyDescent="0.3">
      <c r="B82" t="s">
        <v>132</v>
      </c>
    </row>
    <row r="83" spans="2:2" x14ac:dyDescent="0.3">
      <c r="B83" t="s">
        <v>133</v>
      </c>
    </row>
    <row r="85" spans="2:2" x14ac:dyDescent="0.3">
      <c r="B85" t="s">
        <v>134</v>
      </c>
    </row>
    <row r="87" spans="2:2" x14ac:dyDescent="0.3">
      <c r="B87" t="s">
        <v>135</v>
      </c>
    </row>
    <row r="89" spans="2:2" x14ac:dyDescent="0.3">
      <c r="B89" t="s">
        <v>136</v>
      </c>
    </row>
    <row r="90" spans="2:2" x14ac:dyDescent="0.3">
      <c r="B90" t="s">
        <v>137</v>
      </c>
    </row>
    <row r="91" spans="2:2" x14ac:dyDescent="0.3">
      <c r="B91" t="s">
        <v>138</v>
      </c>
    </row>
    <row r="93" spans="2:2" x14ac:dyDescent="0.3">
      <c r="B93" t="s">
        <v>139</v>
      </c>
    </row>
    <row r="95" spans="2:2" x14ac:dyDescent="0.3">
      <c r="B95" t="s">
        <v>140</v>
      </c>
    </row>
    <row r="97" spans="2:2" x14ac:dyDescent="0.3">
      <c r="B97" t="s">
        <v>141</v>
      </c>
    </row>
    <row r="98" spans="2:2" x14ac:dyDescent="0.3">
      <c r="B98" t="s">
        <v>142</v>
      </c>
    </row>
    <row r="100" spans="2:2" ht="18" x14ac:dyDescent="0.35">
      <c r="B100" s="126" t="s">
        <v>157</v>
      </c>
    </row>
    <row r="102" spans="2:2" x14ac:dyDescent="0.3">
      <c r="B102" t="s">
        <v>143</v>
      </c>
    </row>
    <row r="104" spans="2:2" x14ac:dyDescent="0.3">
      <c r="B104" t="s">
        <v>144</v>
      </c>
    </row>
    <row r="105" spans="2:2" x14ac:dyDescent="0.3">
      <c r="B105" t="s">
        <v>145</v>
      </c>
    </row>
    <row r="106" spans="2:2" x14ac:dyDescent="0.3">
      <c r="B106" t="s">
        <v>146</v>
      </c>
    </row>
    <row r="107" spans="2:2" x14ac:dyDescent="0.3">
      <c r="B107" t="s">
        <v>147</v>
      </c>
    </row>
    <row r="109" spans="2:2" x14ac:dyDescent="0.3">
      <c r="B109" t="s">
        <v>148</v>
      </c>
    </row>
    <row r="111" spans="2:2" x14ac:dyDescent="0.3">
      <c r="B111" t="s">
        <v>149</v>
      </c>
    </row>
    <row r="112" spans="2:2" x14ac:dyDescent="0.3">
      <c r="B112" t="s">
        <v>150</v>
      </c>
    </row>
    <row r="114" spans="2:2" ht="18" x14ac:dyDescent="0.35">
      <c r="B114" s="126" t="s">
        <v>151</v>
      </c>
    </row>
    <row r="116" spans="2:2" x14ac:dyDescent="0.3">
      <c r="B116" t="s">
        <v>159</v>
      </c>
    </row>
    <row r="117" spans="2:2" x14ac:dyDescent="0.3">
      <c r="B117" t="s">
        <v>160</v>
      </c>
    </row>
  </sheetData>
  <mergeCells count="1">
    <mergeCell ref="B4:S4"/>
  </mergeCells>
  <pageMargins left="0.7" right="0.7" top="0.75" bottom="0.75" header="0.3" footer="0.3"/>
  <pageSetup scale="37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D2:K18"/>
  <sheetViews>
    <sheetView showGridLines="0" view="pageBreakPreview" zoomScaleNormal="100" zoomScaleSheetLayoutView="100" workbookViewId="0">
      <selection activeCell="K14" sqref="K14"/>
    </sheetView>
  </sheetViews>
  <sheetFormatPr defaultRowHeight="14.4" x14ac:dyDescent="0.3"/>
  <cols>
    <col min="4" max="7" width="16.77734375" customWidth="1"/>
    <col min="8" max="8" width="18.33203125" bestFit="1" customWidth="1"/>
    <col min="9" max="11" width="16.77734375" customWidth="1"/>
  </cols>
  <sheetData>
    <row r="2" spans="4:11" x14ac:dyDescent="0.3">
      <c r="D2" s="5" t="s">
        <v>0</v>
      </c>
      <c r="E2" s="153" t="s">
        <v>203</v>
      </c>
      <c r="F2" s="153"/>
      <c r="G2" s="153"/>
      <c r="H2" s="153"/>
    </row>
    <row r="3" spans="4:11" x14ac:dyDescent="0.3">
      <c r="D3" s="5" t="s">
        <v>1</v>
      </c>
      <c r="E3" s="153" t="s">
        <v>205</v>
      </c>
      <c r="F3" s="153"/>
      <c r="G3" s="153"/>
      <c r="H3" s="153"/>
    </row>
    <row r="4" spans="4:11" x14ac:dyDescent="0.3">
      <c r="D4" s="5" t="s">
        <v>2</v>
      </c>
      <c r="E4" s="157">
        <v>46082</v>
      </c>
      <c r="F4" s="153"/>
      <c r="G4" s="153"/>
      <c r="H4" s="153"/>
    </row>
    <row r="5" spans="4:11" x14ac:dyDescent="0.3">
      <c r="D5" s="5" t="s">
        <v>3</v>
      </c>
      <c r="E5" s="153" t="s">
        <v>204</v>
      </c>
      <c r="F5" s="153"/>
      <c r="G5" s="153"/>
      <c r="H5" s="153"/>
    </row>
    <row r="8" spans="4:11" s="91" customFormat="1" ht="23.4" customHeight="1" x14ac:dyDescent="0.3">
      <c r="D8" s="154" t="s">
        <v>4</v>
      </c>
      <c r="E8" s="154"/>
      <c r="F8" s="154"/>
      <c r="G8" s="154"/>
      <c r="H8" s="154"/>
      <c r="I8" s="154"/>
      <c r="J8" s="154"/>
      <c r="K8" s="154"/>
    </row>
    <row r="10" spans="4:11" x14ac:dyDescent="0.3">
      <c r="D10" s="4" t="s">
        <v>5</v>
      </c>
      <c r="F10" s="4" t="s">
        <v>200</v>
      </c>
      <c r="H10" s="4" t="s">
        <v>6</v>
      </c>
    </row>
    <row r="11" spans="4:11" ht="14.4" customHeight="1" x14ac:dyDescent="0.3">
      <c r="D11" s="156">
        <f>'P&amp;L'!O3</f>
        <v>6450000</v>
      </c>
      <c r="F11" s="158">
        <f>'P&amp;L'!O5</f>
        <v>5456720.1861706609</v>
      </c>
      <c r="H11" s="155">
        <f>'P&amp;L'!O9</f>
        <v>4856613.631982103</v>
      </c>
      <c r="J11" s="3" t="s">
        <v>202</v>
      </c>
      <c r="K11" s="121">
        <f>'KPI &amp; Ratio Analysis'!C7</f>
        <v>0.84600312963886215</v>
      </c>
    </row>
    <row r="12" spans="4:11" x14ac:dyDescent="0.3">
      <c r="D12" s="156"/>
      <c r="F12" s="158"/>
      <c r="H12" s="155"/>
      <c r="J12" s="3" t="s">
        <v>10</v>
      </c>
      <c r="K12" s="121">
        <f>'KPI &amp; Ratio Analysis'!C8</f>
        <v>0.75296335379567492</v>
      </c>
    </row>
    <row r="13" spans="4:11" x14ac:dyDescent="0.3">
      <c r="D13" s="156"/>
      <c r="F13" s="158"/>
      <c r="H13" s="155"/>
      <c r="J13" s="3" t="s">
        <v>11</v>
      </c>
      <c r="K13" s="121">
        <f>'KPI &amp; Ratio Analysis'!C9</f>
        <v>0.69842279554277165</v>
      </c>
    </row>
    <row r="14" spans="4:11" x14ac:dyDescent="0.3">
      <c r="J14" s="3" t="s">
        <v>12</v>
      </c>
      <c r="K14" s="148">
        <f>'KPI &amp; Ratio Analysis'!C16</f>
        <v>2.0208333333333335</v>
      </c>
    </row>
    <row r="15" spans="4:11" x14ac:dyDescent="0.3">
      <c r="D15" s="4" t="s">
        <v>7</v>
      </c>
      <c r="F15" s="4" t="s">
        <v>8</v>
      </c>
      <c r="H15" s="4" t="s">
        <v>183</v>
      </c>
      <c r="J15" s="3" t="s">
        <v>13</v>
      </c>
      <c r="K15" s="122">
        <f>'KPI &amp; Ratio Analysis'!C13</f>
        <v>152</v>
      </c>
    </row>
    <row r="16" spans="4:11" ht="14.4" customHeight="1" x14ac:dyDescent="0.3">
      <c r="D16" s="152">
        <f>'P&amp;L'!O17</f>
        <v>4504827.0312508773</v>
      </c>
      <c r="F16" s="151">
        <f>CFS!O21</f>
        <v>760000</v>
      </c>
      <c r="H16" s="150">
        <f>'Manufacturing Metrics'!C3</f>
        <v>100000</v>
      </c>
    </row>
    <row r="17" spans="4:8" x14ac:dyDescent="0.3">
      <c r="D17" s="152"/>
      <c r="F17" s="151"/>
      <c r="H17" s="150"/>
    </row>
    <row r="18" spans="4:8" x14ac:dyDescent="0.3">
      <c r="D18" s="152"/>
      <c r="F18" s="151"/>
      <c r="H18" s="150"/>
    </row>
  </sheetData>
  <mergeCells count="11">
    <mergeCell ref="H16:H18"/>
    <mergeCell ref="F16:F18"/>
    <mergeCell ref="D16:D18"/>
    <mergeCell ref="E2:H2"/>
    <mergeCell ref="D8:K8"/>
    <mergeCell ref="H11:H13"/>
    <mergeCell ref="D11:D13"/>
    <mergeCell ref="E5:H5"/>
    <mergeCell ref="E4:H4"/>
    <mergeCell ref="E3:H3"/>
    <mergeCell ref="F11:F13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AD7-A7AA-4C8D-B960-F6D10EDCE6B1}">
  <sheetPr>
    <tabColor theme="4" tint="0.79998168889431442"/>
  </sheetPr>
  <dimension ref="B2:I34"/>
  <sheetViews>
    <sheetView showGridLines="0" zoomScaleNormal="100" workbookViewId="0">
      <selection activeCell="C3" sqref="C3"/>
    </sheetView>
  </sheetViews>
  <sheetFormatPr defaultRowHeight="14.4" x14ac:dyDescent="0.3"/>
  <cols>
    <col min="1" max="1" width="1.77734375" customWidth="1"/>
    <col min="2" max="2" width="20.33203125" style="2" bestFit="1" customWidth="1"/>
    <col min="3" max="3" width="20.77734375" style="2" customWidth="1"/>
    <col min="4" max="4" width="29.5546875" style="2" bestFit="1" customWidth="1"/>
    <col min="5" max="5" width="20.77734375" style="2" customWidth="1"/>
    <col min="6" max="6" width="28.6640625" style="2" bestFit="1" customWidth="1"/>
    <col min="7" max="7" width="20.77734375" style="2" customWidth="1"/>
    <col min="8" max="9" width="20.77734375" customWidth="1"/>
  </cols>
  <sheetData>
    <row r="2" spans="2:9" x14ac:dyDescent="0.3">
      <c r="B2" s="67" t="s">
        <v>79</v>
      </c>
      <c r="C2" s="7">
        <v>5000000</v>
      </c>
    </row>
    <row r="5" spans="2:9" s="1" customFormat="1" x14ac:dyDescent="0.3">
      <c r="B5" s="4" t="s">
        <v>14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161</v>
      </c>
      <c r="H5" s="4" t="s">
        <v>15</v>
      </c>
      <c r="I5" s="4" t="s">
        <v>16</v>
      </c>
    </row>
    <row r="6" spans="2:9" x14ac:dyDescent="0.3">
      <c r="B6" s="6" t="s">
        <v>17</v>
      </c>
      <c r="C6" s="7">
        <v>100000</v>
      </c>
      <c r="D6" s="7">
        <v>90000</v>
      </c>
      <c r="E6" s="7">
        <v>80000</v>
      </c>
      <c r="F6" s="7">
        <v>70000</v>
      </c>
      <c r="G6" s="7">
        <v>60000</v>
      </c>
      <c r="H6" s="9">
        <f t="shared" ref="H6:H17" si="0">SUM(C6:G6)</f>
        <v>400000</v>
      </c>
      <c r="I6" s="6"/>
    </row>
    <row r="7" spans="2:9" x14ac:dyDescent="0.3">
      <c r="B7" s="6" t="s">
        <v>18</v>
      </c>
      <c r="C7" s="7">
        <v>105000</v>
      </c>
      <c r="D7" s="7">
        <v>95000</v>
      </c>
      <c r="E7" s="7">
        <v>85000</v>
      </c>
      <c r="F7" s="7">
        <v>75000</v>
      </c>
      <c r="G7" s="7">
        <v>65000</v>
      </c>
      <c r="H7" s="9">
        <f t="shared" si="0"/>
        <v>425000</v>
      </c>
      <c r="I7" s="8">
        <f>H7/H6-1</f>
        <v>6.25E-2</v>
      </c>
    </row>
    <row r="8" spans="2:9" x14ac:dyDescent="0.3">
      <c r="B8" s="6" t="s">
        <v>19</v>
      </c>
      <c r="C8" s="7">
        <v>110000</v>
      </c>
      <c r="D8" s="7">
        <v>100000</v>
      </c>
      <c r="E8" s="7">
        <v>90000</v>
      </c>
      <c r="F8" s="7">
        <v>80000</v>
      </c>
      <c r="G8" s="7">
        <v>70000</v>
      </c>
      <c r="H8" s="9">
        <f t="shared" si="0"/>
        <v>450000</v>
      </c>
      <c r="I8" s="8">
        <f t="shared" ref="I8:I17" si="1">H8/H7-1</f>
        <v>5.8823529411764719E-2</v>
      </c>
    </row>
    <row r="9" spans="2:9" x14ac:dyDescent="0.3">
      <c r="B9" s="6" t="s">
        <v>20</v>
      </c>
      <c r="C9" s="7">
        <v>115000</v>
      </c>
      <c r="D9" s="7">
        <v>105000</v>
      </c>
      <c r="E9" s="7">
        <v>95000</v>
      </c>
      <c r="F9" s="7">
        <v>85000</v>
      </c>
      <c r="G9" s="7">
        <v>75000</v>
      </c>
      <c r="H9" s="9">
        <f t="shared" si="0"/>
        <v>475000</v>
      </c>
      <c r="I9" s="8">
        <f t="shared" si="1"/>
        <v>5.555555555555558E-2</v>
      </c>
    </row>
    <row r="10" spans="2:9" x14ac:dyDescent="0.3">
      <c r="B10" s="6" t="s">
        <v>21</v>
      </c>
      <c r="C10" s="7">
        <v>120000</v>
      </c>
      <c r="D10" s="7">
        <v>110000</v>
      </c>
      <c r="E10" s="7">
        <v>100000</v>
      </c>
      <c r="F10" s="7">
        <v>90000</v>
      </c>
      <c r="G10" s="7">
        <v>80000</v>
      </c>
      <c r="H10" s="9">
        <f t="shared" si="0"/>
        <v>500000</v>
      </c>
      <c r="I10" s="8">
        <f t="shared" si="1"/>
        <v>5.2631578947368363E-2</v>
      </c>
    </row>
    <row r="11" spans="2:9" x14ac:dyDescent="0.3">
      <c r="B11" s="6" t="s">
        <v>22</v>
      </c>
      <c r="C11" s="7">
        <v>125000</v>
      </c>
      <c r="D11" s="7">
        <v>115000</v>
      </c>
      <c r="E11" s="7">
        <v>105000</v>
      </c>
      <c r="F11" s="7">
        <v>95000</v>
      </c>
      <c r="G11" s="7">
        <v>85000</v>
      </c>
      <c r="H11" s="9">
        <f t="shared" si="0"/>
        <v>525000</v>
      </c>
      <c r="I11" s="8">
        <f t="shared" si="1"/>
        <v>5.0000000000000044E-2</v>
      </c>
    </row>
    <row r="12" spans="2:9" x14ac:dyDescent="0.3">
      <c r="B12" s="6" t="s">
        <v>23</v>
      </c>
      <c r="C12" s="7">
        <v>130000</v>
      </c>
      <c r="D12" s="7">
        <v>120000</v>
      </c>
      <c r="E12" s="7">
        <v>110000</v>
      </c>
      <c r="F12" s="7">
        <v>100000</v>
      </c>
      <c r="G12" s="7">
        <v>90000</v>
      </c>
      <c r="H12" s="9">
        <f t="shared" si="0"/>
        <v>550000</v>
      </c>
      <c r="I12" s="8">
        <f t="shared" si="1"/>
        <v>4.7619047619047672E-2</v>
      </c>
    </row>
    <row r="13" spans="2:9" x14ac:dyDescent="0.3">
      <c r="B13" s="6" t="s">
        <v>24</v>
      </c>
      <c r="C13" s="7">
        <v>135000</v>
      </c>
      <c r="D13" s="7">
        <v>125000</v>
      </c>
      <c r="E13" s="7">
        <v>115000</v>
      </c>
      <c r="F13" s="7">
        <v>105000</v>
      </c>
      <c r="G13" s="7">
        <v>95000</v>
      </c>
      <c r="H13" s="9">
        <f t="shared" si="0"/>
        <v>575000</v>
      </c>
      <c r="I13" s="8">
        <f t="shared" si="1"/>
        <v>4.5454545454545414E-2</v>
      </c>
    </row>
    <row r="14" spans="2:9" x14ac:dyDescent="0.3">
      <c r="B14" s="6" t="s">
        <v>25</v>
      </c>
      <c r="C14" s="7">
        <v>140000</v>
      </c>
      <c r="D14" s="7">
        <v>130000</v>
      </c>
      <c r="E14" s="7">
        <v>120000</v>
      </c>
      <c r="F14" s="7">
        <v>110000</v>
      </c>
      <c r="G14" s="7">
        <v>100000</v>
      </c>
      <c r="H14" s="9">
        <f t="shared" si="0"/>
        <v>600000</v>
      </c>
      <c r="I14" s="8">
        <f t="shared" si="1"/>
        <v>4.3478260869565188E-2</v>
      </c>
    </row>
    <row r="15" spans="2:9" x14ac:dyDescent="0.3">
      <c r="B15" s="6" t="s">
        <v>26</v>
      </c>
      <c r="C15" s="7">
        <v>145000</v>
      </c>
      <c r="D15" s="7">
        <v>135000</v>
      </c>
      <c r="E15" s="7">
        <v>125000</v>
      </c>
      <c r="F15" s="7">
        <v>115000</v>
      </c>
      <c r="G15" s="7">
        <v>105000</v>
      </c>
      <c r="H15" s="9">
        <f t="shared" si="0"/>
        <v>625000</v>
      </c>
      <c r="I15" s="8">
        <f t="shared" si="1"/>
        <v>4.1666666666666741E-2</v>
      </c>
    </row>
    <row r="16" spans="2:9" x14ac:dyDescent="0.3">
      <c r="B16" s="6" t="s">
        <v>27</v>
      </c>
      <c r="C16" s="7">
        <v>150000</v>
      </c>
      <c r="D16" s="7">
        <v>140000</v>
      </c>
      <c r="E16" s="7">
        <v>130000</v>
      </c>
      <c r="F16" s="7">
        <v>120000</v>
      </c>
      <c r="G16" s="7">
        <v>110000</v>
      </c>
      <c r="H16" s="9">
        <f t="shared" si="0"/>
        <v>650000</v>
      </c>
      <c r="I16" s="8">
        <f t="shared" si="1"/>
        <v>4.0000000000000036E-2</v>
      </c>
    </row>
    <row r="17" spans="2:9" x14ac:dyDescent="0.3">
      <c r="B17" s="11" t="s">
        <v>28</v>
      </c>
      <c r="C17" s="12">
        <v>155000</v>
      </c>
      <c r="D17" s="12">
        <v>145000</v>
      </c>
      <c r="E17" s="12">
        <v>135000</v>
      </c>
      <c r="F17" s="12">
        <v>125000</v>
      </c>
      <c r="G17" s="12">
        <v>115000</v>
      </c>
      <c r="H17" s="13">
        <f t="shared" si="0"/>
        <v>675000</v>
      </c>
      <c r="I17" s="14">
        <f t="shared" si="1"/>
        <v>3.8461538461538547E-2</v>
      </c>
    </row>
    <row r="18" spans="2:9" s="1" customFormat="1" ht="15" thickBot="1" x14ac:dyDescent="0.35">
      <c r="B18" s="15" t="s">
        <v>29</v>
      </c>
      <c r="C18" s="127">
        <f>SUM(C6:C17)</f>
        <v>1530000</v>
      </c>
      <c r="D18" s="127">
        <f t="shared" ref="D18:H18" si="2">SUM(D6:D17)</f>
        <v>1410000</v>
      </c>
      <c r="E18" s="127">
        <f t="shared" si="2"/>
        <v>1290000</v>
      </c>
      <c r="F18" s="127">
        <f t="shared" si="2"/>
        <v>1170000</v>
      </c>
      <c r="G18" s="127">
        <f t="shared" si="2"/>
        <v>1050000</v>
      </c>
      <c r="H18" s="127">
        <f t="shared" si="2"/>
        <v>6450000</v>
      </c>
      <c r="I18" s="127"/>
    </row>
    <row r="21" spans="2:9" x14ac:dyDescent="0.3">
      <c r="B21" s="4" t="s">
        <v>14</v>
      </c>
      <c r="C21" s="4" t="s">
        <v>30</v>
      </c>
      <c r="D21" s="4" t="s">
        <v>31</v>
      </c>
      <c r="E21" s="4" t="s">
        <v>32</v>
      </c>
      <c r="F21" s="4" t="s">
        <v>63</v>
      </c>
    </row>
    <row r="22" spans="2:9" x14ac:dyDescent="0.3">
      <c r="B22" s="6" t="s">
        <v>17</v>
      </c>
      <c r="C22" s="7">
        <v>320000</v>
      </c>
      <c r="D22" s="9">
        <f t="shared" ref="D22:D33" si="3">H6</f>
        <v>400000</v>
      </c>
      <c r="E22" s="9">
        <f>D22-C22</f>
        <v>80000</v>
      </c>
      <c r="F22" s="8">
        <f>E22/C22</f>
        <v>0.25</v>
      </c>
    </row>
    <row r="23" spans="2:9" x14ac:dyDescent="0.3">
      <c r="B23" s="6" t="s">
        <v>18</v>
      </c>
      <c r="C23" s="7">
        <v>340000</v>
      </c>
      <c r="D23" s="9">
        <f t="shared" si="3"/>
        <v>425000</v>
      </c>
      <c r="E23" s="9">
        <f t="shared" ref="E23:E33" si="4">D23-C23</f>
        <v>85000</v>
      </c>
      <c r="F23" s="8">
        <f t="shared" ref="F23:F33" si="5">E23/C23</f>
        <v>0.25</v>
      </c>
    </row>
    <row r="24" spans="2:9" x14ac:dyDescent="0.3">
      <c r="B24" s="6" t="s">
        <v>19</v>
      </c>
      <c r="C24" s="7">
        <v>405000</v>
      </c>
      <c r="D24" s="9">
        <f t="shared" si="3"/>
        <v>450000</v>
      </c>
      <c r="E24" s="9">
        <f t="shared" si="4"/>
        <v>45000</v>
      </c>
      <c r="F24" s="8">
        <f t="shared" si="5"/>
        <v>0.1111111111111111</v>
      </c>
    </row>
    <row r="25" spans="2:9" x14ac:dyDescent="0.3">
      <c r="B25" s="6" t="s">
        <v>20</v>
      </c>
      <c r="C25" s="7">
        <v>522500.00000000006</v>
      </c>
      <c r="D25" s="9">
        <f t="shared" si="3"/>
        <v>475000</v>
      </c>
      <c r="E25" s="9">
        <f t="shared" si="4"/>
        <v>-47500.000000000058</v>
      </c>
      <c r="F25" s="8">
        <f t="shared" si="5"/>
        <v>-9.0909090909091009E-2</v>
      </c>
    </row>
    <row r="26" spans="2:9" x14ac:dyDescent="0.3">
      <c r="B26" s="6" t="s">
        <v>21</v>
      </c>
      <c r="C26" s="7">
        <v>550000</v>
      </c>
      <c r="D26" s="9">
        <f t="shared" si="3"/>
        <v>500000</v>
      </c>
      <c r="E26" s="9">
        <f t="shared" si="4"/>
        <v>-50000</v>
      </c>
      <c r="F26" s="8">
        <f t="shared" si="5"/>
        <v>-9.0909090909090912E-2</v>
      </c>
    </row>
    <row r="27" spans="2:9" x14ac:dyDescent="0.3">
      <c r="B27" s="6" t="s">
        <v>22</v>
      </c>
      <c r="C27" s="7">
        <v>630000</v>
      </c>
      <c r="D27" s="9">
        <f t="shared" si="3"/>
        <v>525000</v>
      </c>
      <c r="E27" s="9">
        <f t="shared" si="4"/>
        <v>-105000</v>
      </c>
      <c r="F27" s="8">
        <f t="shared" si="5"/>
        <v>-0.16666666666666666</v>
      </c>
    </row>
    <row r="28" spans="2:9" x14ac:dyDescent="0.3">
      <c r="B28" s="6" t="s">
        <v>23</v>
      </c>
      <c r="C28" s="7">
        <v>550000</v>
      </c>
      <c r="D28" s="9">
        <f t="shared" si="3"/>
        <v>550000</v>
      </c>
      <c r="E28" s="9">
        <f t="shared" si="4"/>
        <v>0</v>
      </c>
      <c r="F28" s="8">
        <f t="shared" si="5"/>
        <v>0</v>
      </c>
    </row>
    <row r="29" spans="2:9" x14ac:dyDescent="0.3">
      <c r="B29" s="6" t="s">
        <v>24</v>
      </c>
      <c r="C29" s="7">
        <v>431250</v>
      </c>
      <c r="D29" s="9">
        <f t="shared" si="3"/>
        <v>575000</v>
      </c>
      <c r="E29" s="9">
        <f t="shared" si="4"/>
        <v>143750</v>
      </c>
      <c r="F29" s="8">
        <f t="shared" si="5"/>
        <v>0.33333333333333331</v>
      </c>
    </row>
    <row r="30" spans="2:9" x14ac:dyDescent="0.3">
      <c r="B30" s="6" t="s">
        <v>25</v>
      </c>
      <c r="C30" s="7">
        <v>420000</v>
      </c>
      <c r="D30" s="9">
        <f t="shared" si="3"/>
        <v>600000</v>
      </c>
      <c r="E30" s="9">
        <f t="shared" si="4"/>
        <v>180000</v>
      </c>
      <c r="F30" s="8">
        <f t="shared" si="5"/>
        <v>0.42857142857142855</v>
      </c>
    </row>
    <row r="31" spans="2:9" x14ac:dyDescent="0.3">
      <c r="B31" s="6" t="s">
        <v>26</v>
      </c>
      <c r="C31" s="7">
        <v>312500</v>
      </c>
      <c r="D31" s="9">
        <f t="shared" si="3"/>
        <v>625000</v>
      </c>
      <c r="E31" s="9">
        <f t="shared" si="4"/>
        <v>312500</v>
      </c>
      <c r="F31" s="8">
        <f t="shared" si="5"/>
        <v>1</v>
      </c>
    </row>
    <row r="32" spans="2:9" x14ac:dyDescent="0.3">
      <c r="B32" s="6" t="s">
        <v>27</v>
      </c>
      <c r="C32" s="7">
        <v>812500</v>
      </c>
      <c r="D32" s="9">
        <f t="shared" si="3"/>
        <v>650000</v>
      </c>
      <c r="E32" s="9">
        <f t="shared" si="4"/>
        <v>-162500</v>
      </c>
      <c r="F32" s="8">
        <f t="shared" si="5"/>
        <v>-0.2</v>
      </c>
    </row>
    <row r="33" spans="2:7" x14ac:dyDescent="0.3">
      <c r="B33" s="11" t="s">
        <v>28</v>
      </c>
      <c r="C33" s="12">
        <v>877500</v>
      </c>
      <c r="D33" s="13">
        <f t="shared" si="3"/>
        <v>675000</v>
      </c>
      <c r="E33" s="13">
        <f t="shared" si="4"/>
        <v>-202500</v>
      </c>
      <c r="F33" s="8">
        <f t="shared" si="5"/>
        <v>-0.23076923076923078</v>
      </c>
    </row>
    <row r="34" spans="2:7" s="1" customFormat="1" ht="15" thickBot="1" x14ac:dyDescent="0.35">
      <c r="B34" s="53" t="s">
        <v>29</v>
      </c>
      <c r="C34" s="18">
        <f>SUM(C22:C33)</f>
        <v>6171250</v>
      </c>
      <c r="D34" s="18">
        <f t="shared" ref="D34:E34" si="6">SUM(D22:D33)</f>
        <v>6450000</v>
      </c>
      <c r="E34" s="18">
        <f t="shared" si="6"/>
        <v>278750</v>
      </c>
      <c r="F34" s="18"/>
      <c r="G3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AEF2-82D9-4EBA-935A-1A84A4B7802B}">
  <sheetPr>
    <tabColor theme="4" tint="0.79998168889431442"/>
  </sheetPr>
  <dimension ref="B2:O41"/>
  <sheetViews>
    <sheetView showGridLines="0" zoomScaleNormal="100" workbookViewId="0">
      <selection activeCell="I33" sqref="I33"/>
    </sheetView>
  </sheetViews>
  <sheetFormatPr defaultRowHeight="14.4" x14ac:dyDescent="0.3"/>
  <cols>
    <col min="1" max="1" width="1.77734375" customWidth="1"/>
    <col min="2" max="2" width="32.44140625" customWidth="1"/>
    <col min="3" max="15" width="12.77734375" style="2" customWidth="1"/>
  </cols>
  <sheetData>
    <row r="2" spans="2:15" s="1" customFormat="1" x14ac:dyDescent="0.3">
      <c r="B2" s="16" t="s">
        <v>33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2:15" s="141" customFormat="1" x14ac:dyDescent="0.3">
      <c r="B3" s="139" t="s">
        <v>197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0"/>
    </row>
    <row r="4" spans="2:15" x14ac:dyDescent="0.3">
      <c r="B4" s="10" t="s">
        <v>175</v>
      </c>
      <c r="C4" s="7">
        <v>25000</v>
      </c>
      <c r="D4" s="7">
        <v>25624.999999999996</v>
      </c>
      <c r="E4" s="7">
        <v>26265.624999999993</v>
      </c>
      <c r="F4" s="7">
        <v>26922.265624999989</v>
      </c>
      <c r="G4" s="7">
        <v>27595.322265624985</v>
      </c>
      <c r="H4" s="7">
        <v>28285.205322265607</v>
      </c>
      <c r="I4" s="7">
        <v>28992.335455322245</v>
      </c>
      <c r="J4" s="7">
        <v>29717.1438417053</v>
      </c>
      <c r="K4" s="7">
        <v>30460.072437747931</v>
      </c>
      <c r="L4" s="7">
        <v>31221.574248691628</v>
      </c>
      <c r="M4" s="7">
        <v>32002.113604908915</v>
      </c>
      <c r="N4" s="7">
        <v>32802.166445031631</v>
      </c>
      <c r="O4" s="9">
        <f>SUM(C4:N4)</f>
        <v>344888.82424629823</v>
      </c>
    </row>
    <row r="5" spans="2:15" x14ac:dyDescent="0.3">
      <c r="B5" s="10" t="s">
        <v>176</v>
      </c>
      <c r="C5" s="7">
        <v>40000</v>
      </c>
      <c r="D5" s="7">
        <v>41000</v>
      </c>
      <c r="E5" s="7">
        <v>42024.999999999993</v>
      </c>
      <c r="F5" s="7">
        <v>43075.624999999985</v>
      </c>
      <c r="G5" s="7">
        <v>44152.515624999978</v>
      </c>
      <c r="H5" s="7">
        <v>45256.328515624977</v>
      </c>
      <c r="I5" s="7">
        <v>46387.7367285156</v>
      </c>
      <c r="J5" s="7">
        <v>47547.430146728482</v>
      </c>
      <c r="K5" s="7">
        <v>48736.11590039669</v>
      </c>
      <c r="L5" s="7">
        <v>49954.518797906603</v>
      </c>
      <c r="M5" s="7">
        <v>51203.381767854262</v>
      </c>
      <c r="N5" s="7">
        <v>52483.466312050616</v>
      </c>
      <c r="O5" s="9">
        <f>SUM(C5:N5)</f>
        <v>551822.11879407719</v>
      </c>
    </row>
    <row r="6" spans="2:15" x14ac:dyDescent="0.3">
      <c r="B6" s="10" t="s">
        <v>177</v>
      </c>
      <c r="C6" s="7">
        <v>2000</v>
      </c>
      <c r="D6" s="7">
        <v>2050</v>
      </c>
      <c r="E6" s="7">
        <v>2101.25</v>
      </c>
      <c r="F6" s="7">
        <v>2153.78125</v>
      </c>
      <c r="G6" s="7">
        <v>2207.6257812499998</v>
      </c>
      <c r="H6" s="7">
        <v>2262.8164257812496</v>
      </c>
      <c r="I6" s="7">
        <v>2319.3868364257805</v>
      </c>
      <c r="J6" s="7">
        <v>2377.3715073364247</v>
      </c>
      <c r="K6" s="7">
        <v>2436.8057950198349</v>
      </c>
      <c r="L6" s="7">
        <v>2497.7259398953306</v>
      </c>
      <c r="M6" s="7">
        <v>2560.1690883927135</v>
      </c>
      <c r="N6" s="7">
        <v>2624.1733156025311</v>
      </c>
      <c r="O6" s="9">
        <f t="shared" ref="O6:O10" si="0">SUM(C6:N6)</f>
        <v>27591.10593970387</v>
      </c>
    </row>
    <row r="7" spans="2:15" x14ac:dyDescent="0.3">
      <c r="B7" s="10" t="s">
        <v>178</v>
      </c>
      <c r="C7" s="7">
        <v>5000</v>
      </c>
      <c r="D7" s="7">
        <v>5125</v>
      </c>
      <c r="E7" s="7">
        <v>5253.1249999999991</v>
      </c>
      <c r="F7" s="7">
        <v>5384.4531249999982</v>
      </c>
      <c r="G7" s="7">
        <v>5519.0644531249973</v>
      </c>
      <c r="H7" s="7">
        <v>5657.0410644531221</v>
      </c>
      <c r="I7" s="7">
        <v>5798.46709106445</v>
      </c>
      <c r="J7" s="7">
        <v>5943.4287683410603</v>
      </c>
      <c r="K7" s="7">
        <v>6092.0144875495862</v>
      </c>
      <c r="L7" s="7">
        <v>6244.3148497383254</v>
      </c>
      <c r="M7" s="7">
        <v>6400.4227209817827</v>
      </c>
      <c r="N7" s="7">
        <v>6560.433289006327</v>
      </c>
      <c r="O7" s="9">
        <f t="shared" si="0"/>
        <v>68977.764849259649</v>
      </c>
    </row>
    <row r="8" spans="2:15" x14ac:dyDescent="0.3"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</row>
    <row r="9" spans="2:15" x14ac:dyDescent="0.3">
      <c r="B9" s="43" t="s">
        <v>198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</row>
    <row r="10" spans="2:15" x14ac:dyDescent="0.3">
      <c r="B10" s="10" t="s">
        <v>179</v>
      </c>
      <c r="C10" s="7">
        <v>1000</v>
      </c>
      <c r="D10" s="7">
        <v>1025</v>
      </c>
      <c r="E10" s="7">
        <v>1050.625</v>
      </c>
      <c r="F10" s="7">
        <v>1076.890625</v>
      </c>
      <c r="G10" s="7">
        <v>1103.8128906249999</v>
      </c>
      <c r="H10" s="7">
        <v>1131.4082128906248</v>
      </c>
      <c r="I10" s="7">
        <v>1159.6934182128903</v>
      </c>
      <c r="J10" s="7">
        <v>1188.6857536682123</v>
      </c>
      <c r="K10" s="7">
        <v>1218.4028975099175</v>
      </c>
      <c r="L10" s="7">
        <v>1248.8629699476653</v>
      </c>
      <c r="M10" s="7">
        <v>1280.0845441963568</v>
      </c>
      <c r="N10" s="7">
        <v>1312.0866578012656</v>
      </c>
      <c r="O10" s="9">
        <f t="shared" si="0"/>
        <v>13795.552969851935</v>
      </c>
    </row>
    <row r="11" spans="2:15" x14ac:dyDescent="0.3">
      <c r="B11" s="10" t="s">
        <v>180</v>
      </c>
      <c r="C11" s="7">
        <v>5000</v>
      </c>
      <c r="D11" s="7">
        <v>5125</v>
      </c>
      <c r="E11" s="7">
        <v>5253.1249999999991</v>
      </c>
      <c r="F11" s="7">
        <v>5384.4531249999982</v>
      </c>
      <c r="G11" s="7">
        <v>5519.0644531249973</v>
      </c>
      <c r="H11" s="7">
        <v>5657.0410644531221</v>
      </c>
      <c r="I11" s="7">
        <v>5798.46709106445</v>
      </c>
      <c r="J11" s="7">
        <v>5943.4287683410603</v>
      </c>
      <c r="K11" s="7">
        <v>6092.0144875495862</v>
      </c>
      <c r="L11" s="7">
        <v>6244.3148497383254</v>
      </c>
      <c r="M11" s="7">
        <v>6400.4227209817827</v>
      </c>
      <c r="N11" s="7">
        <v>6560.433289006327</v>
      </c>
      <c r="O11" s="9">
        <f t="shared" ref="O11:O15" si="1">SUM(C11:N11)</f>
        <v>68977.764849259649</v>
      </c>
    </row>
    <row r="12" spans="2:15" x14ac:dyDescent="0.3">
      <c r="B12" s="10" t="s">
        <v>181</v>
      </c>
      <c r="C12" s="7">
        <v>3000</v>
      </c>
      <c r="D12" s="7">
        <v>3074.9999999999995</v>
      </c>
      <c r="E12" s="7">
        <v>3151.8749999999991</v>
      </c>
      <c r="F12" s="7">
        <v>3230.6718749999986</v>
      </c>
      <c r="G12" s="7">
        <v>3311.4386718749984</v>
      </c>
      <c r="H12" s="7">
        <v>3394.224638671873</v>
      </c>
      <c r="I12" s="7">
        <v>3479.0802546386694</v>
      </c>
      <c r="J12" s="7">
        <v>3566.0572610046361</v>
      </c>
      <c r="K12" s="7">
        <v>3655.2086925297517</v>
      </c>
      <c r="L12" s="7">
        <v>3746.5889098429952</v>
      </c>
      <c r="M12" s="7">
        <v>3840.2536325890696</v>
      </c>
      <c r="N12" s="7">
        <v>3936.2599734037958</v>
      </c>
      <c r="O12" s="9">
        <f t="shared" si="1"/>
        <v>41386.658909555787</v>
      </c>
    </row>
    <row r="13" spans="2:15" x14ac:dyDescent="0.3">
      <c r="B13" s="10" t="s">
        <v>182</v>
      </c>
      <c r="C13" s="7">
        <v>5000</v>
      </c>
      <c r="D13" s="7">
        <v>5125</v>
      </c>
      <c r="E13" s="7">
        <v>5253.1249999999991</v>
      </c>
      <c r="F13" s="7">
        <v>5384.4531249999982</v>
      </c>
      <c r="G13" s="7">
        <v>5519.0644531249973</v>
      </c>
      <c r="H13" s="7">
        <v>5657.0410644531221</v>
      </c>
      <c r="I13" s="7">
        <v>5798.46709106445</v>
      </c>
      <c r="J13" s="7">
        <v>5943.4287683410603</v>
      </c>
      <c r="K13" s="7">
        <v>6092.0144875495862</v>
      </c>
      <c r="L13" s="7">
        <v>6244.3148497383254</v>
      </c>
      <c r="M13" s="7">
        <v>6400.4227209817827</v>
      </c>
      <c r="N13" s="7">
        <v>6560.433289006327</v>
      </c>
      <c r="O13" s="9">
        <f t="shared" si="1"/>
        <v>68977.764849259649</v>
      </c>
    </row>
    <row r="14" spans="2:15" x14ac:dyDescent="0.3">
      <c r="B14" s="10" t="s">
        <v>34</v>
      </c>
      <c r="C14" s="7">
        <v>2000</v>
      </c>
      <c r="D14" s="7">
        <v>2050</v>
      </c>
      <c r="E14" s="7">
        <v>2101.25</v>
      </c>
      <c r="F14" s="7">
        <v>2153.78125</v>
      </c>
      <c r="G14" s="7">
        <v>2207.6257812499998</v>
      </c>
      <c r="H14" s="7">
        <v>2262.8164257812496</v>
      </c>
      <c r="I14" s="7">
        <v>2319.3868364257805</v>
      </c>
      <c r="J14" s="7">
        <v>2377.3715073364247</v>
      </c>
      <c r="K14" s="7">
        <v>2436.8057950198349</v>
      </c>
      <c r="L14" s="7">
        <v>2497.7259398953306</v>
      </c>
      <c r="M14" s="7">
        <v>2560.1690883927135</v>
      </c>
      <c r="N14" s="7">
        <v>2624.1733156025311</v>
      </c>
      <c r="O14" s="9">
        <f t="shared" si="1"/>
        <v>27591.10593970387</v>
      </c>
    </row>
    <row r="15" spans="2:15" x14ac:dyDescent="0.3">
      <c r="B15" s="10" t="s">
        <v>35</v>
      </c>
      <c r="C15" s="7">
        <v>2000</v>
      </c>
      <c r="D15" s="7">
        <v>2050</v>
      </c>
      <c r="E15" s="7">
        <v>2101.25</v>
      </c>
      <c r="F15" s="7">
        <v>2153.78125</v>
      </c>
      <c r="G15" s="7">
        <v>2207.6257812499998</v>
      </c>
      <c r="H15" s="7">
        <v>2262.8164257812496</v>
      </c>
      <c r="I15" s="7">
        <v>2319.3868364257805</v>
      </c>
      <c r="J15" s="7">
        <v>2377.3715073364247</v>
      </c>
      <c r="K15" s="7">
        <v>2436.8057950198349</v>
      </c>
      <c r="L15" s="7">
        <v>2497.7259398953306</v>
      </c>
      <c r="M15" s="7">
        <v>2560.1690883927135</v>
      </c>
      <c r="N15" s="7">
        <v>2624.1733156025311</v>
      </c>
      <c r="O15" s="9">
        <f t="shared" si="1"/>
        <v>27591.10593970387</v>
      </c>
    </row>
    <row r="16" spans="2:15" x14ac:dyDescent="0.3">
      <c r="B16" s="10" t="s">
        <v>36</v>
      </c>
      <c r="C16" s="7">
        <v>5000</v>
      </c>
      <c r="D16" s="7">
        <v>5125</v>
      </c>
      <c r="E16" s="7">
        <v>5253.1249999999991</v>
      </c>
      <c r="F16" s="7">
        <v>5384.4531249999982</v>
      </c>
      <c r="G16" s="7">
        <v>5519.0644531249973</v>
      </c>
      <c r="H16" s="7">
        <v>5657.0410644531221</v>
      </c>
      <c r="I16" s="7">
        <v>5798.46709106445</v>
      </c>
      <c r="J16" s="7">
        <v>5943.4287683410603</v>
      </c>
      <c r="K16" s="7">
        <v>6092.0144875495862</v>
      </c>
      <c r="L16" s="7">
        <v>6244.3148497383254</v>
      </c>
      <c r="M16" s="7">
        <v>6400.4227209817827</v>
      </c>
      <c r="N16" s="7">
        <v>6560.433289006327</v>
      </c>
      <c r="O16" s="9">
        <f t="shared" ref="O16:O17" si="2">SUM(C16:N16)</f>
        <v>68977.764849259649</v>
      </c>
    </row>
    <row r="17" spans="2:15" x14ac:dyDescent="0.3">
      <c r="B17" s="10" t="s">
        <v>37</v>
      </c>
      <c r="C17" s="7">
        <v>500</v>
      </c>
      <c r="D17" s="7">
        <v>512.5</v>
      </c>
      <c r="E17" s="7">
        <v>525.3125</v>
      </c>
      <c r="F17" s="7">
        <v>538.4453125</v>
      </c>
      <c r="G17" s="7">
        <v>551.90644531249995</v>
      </c>
      <c r="H17" s="7">
        <v>565.70410644531239</v>
      </c>
      <c r="I17" s="7">
        <v>579.84670910644513</v>
      </c>
      <c r="J17" s="7">
        <v>594.34287683410616</v>
      </c>
      <c r="K17" s="7">
        <v>609.20144875495873</v>
      </c>
      <c r="L17" s="7">
        <v>624.43148497383265</v>
      </c>
      <c r="M17" s="7">
        <v>640.04227209817839</v>
      </c>
      <c r="N17" s="7">
        <v>656.04332890063279</v>
      </c>
      <c r="O17" s="9">
        <f t="shared" si="2"/>
        <v>6897.7764849259675</v>
      </c>
    </row>
    <row r="18" spans="2:15" x14ac:dyDescent="0.3">
      <c r="B18" s="10" t="s">
        <v>38</v>
      </c>
      <c r="C18" s="7">
        <v>10000</v>
      </c>
      <c r="D18" s="7">
        <v>10250</v>
      </c>
      <c r="E18" s="7">
        <v>10506.249999999998</v>
      </c>
      <c r="F18" s="7">
        <v>10768.906249999996</v>
      </c>
      <c r="G18" s="7">
        <v>11038.128906249995</v>
      </c>
      <c r="H18" s="7">
        <v>11314.082128906244</v>
      </c>
      <c r="I18" s="7">
        <v>11596.9341821289</v>
      </c>
      <c r="J18" s="7">
        <v>11886.857536682121</v>
      </c>
      <c r="K18" s="7">
        <v>12184.028975099172</v>
      </c>
      <c r="L18" s="7">
        <v>12488.629699476651</v>
      </c>
      <c r="M18" s="7">
        <v>12800.845441963565</v>
      </c>
      <c r="N18" s="7">
        <v>13120.866578012654</v>
      </c>
      <c r="O18" s="9">
        <f t="shared" ref="O18:O20" si="3">SUM(C18:N18)</f>
        <v>137955.5296985193</v>
      </c>
    </row>
    <row r="19" spans="2:15" x14ac:dyDescent="0.3">
      <c r="B19" s="33" t="s">
        <v>46</v>
      </c>
      <c r="C19" s="34">
        <v>10000</v>
      </c>
      <c r="D19" s="34">
        <v>10250</v>
      </c>
      <c r="E19" s="34">
        <v>10506.249999999998</v>
      </c>
      <c r="F19" s="34">
        <v>10768.906249999996</v>
      </c>
      <c r="G19" s="34">
        <v>11038.128906249995</v>
      </c>
      <c r="H19" s="34">
        <v>11314.082128906244</v>
      </c>
      <c r="I19" s="34">
        <v>11596.9341821289</v>
      </c>
      <c r="J19" s="34">
        <v>11886.857536682121</v>
      </c>
      <c r="K19" s="34">
        <v>12184.028975099172</v>
      </c>
      <c r="L19" s="34">
        <v>12488.629699476651</v>
      </c>
      <c r="M19" s="34">
        <v>12800.845441963565</v>
      </c>
      <c r="N19" s="34">
        <v>13120.866578012654</v>
      </c>
      <c r="O19" s="9">
        <f t="shared" si="3"/>
        <v>137955.5296985193</v>
      </c>
    </row>
    <row r="20" spans="2:15" s="1" customFormat="1" ht="15" thickBot="1" x14ac:dyDescent="0.35">
      <c r="B20" s="17" t="s">
        <v>39</v>
      </c>
      <c r="C20" s="18">
        <f t="shared" ref="C20:N20" si="4">SUM(C4:C19)</f>
        <v>115500</v>
      </c>
      <c r="D20" s="18">
        <f t="shared" si="4"/>
        <v>118387.5</v>
      </c>
      <c r="E20" s="18">
        <f t="shared" si="4"/>
        <v>121347.18749999999</v>
      </c>
      <c r="F20" s="18">
        <f t="shared" si="4"/>
        <v>124380.86718749997</v>
      </c>
      <c r="G20" s="18">
        <f t="shared" si="4"/>
        <v>127490.38886718747</v>
      </c>
      <c r="H20" s="18">
        <f t="shared" si="4"/>
        <v>130677.64858886712</v>
      </c>
      <c r="I20" s="18">
        <f t="shared" si="4"/>
        <v>133944.58980358881</v>
      </c>
      <c r="J20" s="18">
        <f t="shared" si="4"/>
        <v>137293.20454867854</v>
      </c>
      <c r="K20" s="18">
        <f t="shared" si="4"/>
        <v>140725.53466239548</v>
      </c>
      <c r="L20" s="18">
        <f t="shared" si="4"/>
        <v>144243.67302895529</v>
      </c>
      <c r="M20" s="18">
        <f t="shared" si="4"/>
        <v>147849.76485467912</v>
      </c>
      <c r="N20" s="18">
        <f t="shared" si="4"/>
        <v>151546.00897604611</v>
      </c>
      <c r="O20" s="18">
        <f t="shared" si="3"/>
        <v>1593386.3680178979</v>
      </c>
    </row>
    <row r="23" spans="2:15" x14ac:dyDescent="0.3">
      <c r="B23" s="16" t="s">
        <v>33</v>
      </c>
      <c r="C23" s="4" t="s">
        <v>40</v>
      </c>
      <c r="D23" s="4" t="s">
        <v>41</v>
      </c>
      <c r="E23" s="4" t="s">
        <v>32</v>
      </c>
      <c r="F23" s="4" t="s">
        <v>63</v>
      </c>
    </row>
    <row r="24" spans="2:15" s="144" customFormat="1" x14ac:dyDescent="0.3">
      <c r="B24" s="139" t="s">
        <v>197</v>
      </c>
      <c r="C24" s="142"/>
      <c r="D24" s="140"/>
      <c r="E24" s="140"/>
      <c r="F24" s="140"/>
      <c r="G24" s="143"/>
      <c r="H24" s="143"/>
      <c r="I24" s="143"/>
      <c r="J24" s="143"/>
      <c r="K24" s="143"/>
      <c r="L24" s="143"/>
      <c r="M24" s="143"/>
      <c r="N24" s="143"/>
      <c r="O24" s="143"/>
    </row>
    <row r="25" spans="2:15" x14ac:dyDescent="0.3">
      <c r="B25" s="10" t="s">
        <v>175</v>
      </c>
      <c r="C25" s="7">
        <v>310399.94182166841</v>
      </c>
      <c r="D25" s="9">
        <f>O4</f>
        <v>344888.82424629823</v>
      </c>
      <c r="E25" s="9">
        <f>D25-C25</f>
        <v>34488.882424629817</v>
      </c>
      <c r="F25" s="8">
        <f>E25/C25</f>
        <v>0.11111111111111109</v>
      </c>
    </row>
    <row r="26" spans="2:15" x14ac:dyDescent="0.3">
      <c r="B26" s="10" t="s">
        <v>176</v>
      </c>
      <c r="C26" s="7">
        <v>441457.6950352618</v>
      </c>
      <c r="D26" s="9">
        <f>O5</f>
        <v>551822.11879407719</v>
      </c>
      <c r="E26" s="9">
        <f>D26-C26</f>
        <v>110364.42375881539</v>
      </c>
      <c r="F26" s="8">
        <f>E26/C26</f>
        <v>0.24999999999999986</v>
      </c>
    </row>
    <row r="27" spans="2:15" x14ac:dyDescent="0.3">
      <c r="B27" s="10" t="s">
        <v>177</v>
      </c>
      <c r="C27" s="7">
        <v>19313.774157792708</v>
      </c>
      <c r="D27" s="9">
        <f>O6</f>
        <v>27591.10593970387</v>
      </c>
      <c r="E27" s="9">
        <f t="shared" ref="E27:E31" si="5">D27-C27</f>
        <v>8277.3317819111617</v>
      </c>
      <c r="F27" s="8">
        <f t="shared" ref="F27:F31" si="6">E27/C27</f>
        <v>0.4285714285714286</v>
      </c>
    </row>
    <row r="28" spans="2:15" x14ac:dyDescent="0.3">
      <c r="B28" s="10" t="s">
        <v>178</v>
      </c>
      <c r="C28" s="7">
        <v>75875.541334185618</v>
      </c>
      <c r="D28" s="9">
        <f>O7</f>
        <v>68977.764849259649</v>
      </c>
      <c r="E28" s="9">
        <f t="shared" si="5"/>
        <v>-6897.7764849259693</v>
      </c>
      <c r="F28" s="8">
        <f t="shared" si="6"/>
        <v>-9.0909090909090967E-2</v>
      </c>
    </row>
    <row r="29" spans="2:15" x14ac:dyDescent="0.3">
      <c r="B29" s="10"/>
      <c r="C29" s="7"/>
      <c r="D29" s="9"/>
      <c r="E29" s="9"/>
      <c r="F29" s="8"/>
    </row>
    <row r="30" spans="2:15" x14ac:dyDescent="0.3">
      <c r="B30" s="43" t="s">
        <v>198</v>
      </c>
      <c r="C30" s="7"/>
      <c r="D30" s="9"/>
      <c r="E30" s="9"/>
      <c r="F30" s="8"/>
    </row>
    <row r="31" spans="2:15" x14ac:dyDescent="0.3">
      <c r="B31" s="10" t="s">
        <v>179</v>
      </c>
      <c r="C31" s="7">
        <v>9656.8870788963541</v>
      </c>
      <c r="D31" s="9">
        <f t="shared" ref="D31" si="7">O10</f>
        <v>13795.552969851935</v>
      </c>
      <c r="E31" s="9">
        <f t="shared" si="5"/>
        <v>4138.6658909555808</v>
      </c>
      <c r="F31" s="8">
        <f t="shared" si="6"/>
        <v>0.4285714285714286</v>
      </c>
    </row>
    <row r="32" spans="2:15" x14ac:dyDescent="0.3">
      <c r="B32" s="10" t="s">
        <v>180</v>
      </c>
      <c r="C32" s="7">
        <v>75875.541334185618</v>
      </c>
      <c r="D32" s="9">
        <f>O11</f>
        <v>68977.764849259649</v>
      </c>
      <c r="E32" s="9">
        <f t="shared" ref="E32:E40" si="8">D32-C32</f>
        <v>-6897.7764849259693</v>
      </c>
      <c r="F32" s="8">
        <f t="shared" ref="F32:F40" si="9">E32/C32</f>
        <v>-9.0909090909090967E-2</v>
      </c>
    </row>
    <row r="33" spans="2:6" x14ac:dyDescent="0.3">
      <c r="B33" s="10" t="s">
        <v>181</v>
      </c>
      <c r="C33" s="7">
        <v>49663.990691466941</v>
      </c>
      <c r="D33" s="9">
        <f t="shared" ref="D33:D40" si="10">O12</f>
        <v>41386.658909555787</v>
      </c>
      <c r="E33" s="9">
        <f t="shared" ref="E33:E38" si="11">D33-C33</f>
        <v>-8277.3317819111544</v>
      </c>
      <c r="F33" s="8">
        <f t="shared" ref="F33:F38" si="12">E33/C33</f>
        <v>-0.16666666666666663</v>
      </c>
    </row>
    <row r="34" spans="2:6" x14ac:dyDescent="0.3">
      <c r="B34" s="10" t="s">
        <v>182</v>
      </c>
      <c r="C34" s="7">
        <v>89671.094304037542</v>
      </c>
      <c r="D34" s="9">
        <f t="shared" si="10"/>
        <v>68977.764849259649</v>
      </c>
      <c r="E34" s="9">
        <f t="shared" si="11"/>
        <v>-20693.329454777893</v>
      </c>
      <c r="F34" s="8">
        <f t="shared" si="12"/>
        <v>-0.23076923076923075</v>
      </c>
    </row>
    <row r="35" spans="2:6" x14ac:dyDescent="0.3">
      <c r="B35" s="10" t="s">
        <v>34</v>
      </c>
      <c r="C35" s="7">
        <v>24831.995345733485</v>
      </c>
      <c r="D35" s="9">
        <f t="shared" si="10"/>
        <v>27591.10593970387</v>
      </c>
      <c r="E35" s="9">
        <f t="shared" si="11"/>
        <v>2759.1105939703848</v>
      </c>
      <c r="F35" s="8">
        <f t="shared" si="12"/>
        <v>0.11111111111111101</v>
      </c>
    </row>
    <row r="36" spans="2:6" x14ac:dyDescent="0.3">
      <c r="B36" s="10" t="s">
        <v>35</v>
      </c>
      <c r="C36" s="7">
        <v>24831.995345733485</v>
      </c>
      <c r="D36" s="9">
        <f t="shared" si="10"/>
        <v>27591.10593970387</v>
      </c>
      <c r="E36" s="9">
        <f t="shared" si="11"/>
        <v>2759.1105939703848</v>
      </c>
      <c r="F36" s="8">
        <f t="shared" si="12"/>
        <v>0.11111111111111101</v>
      </c>
    </row>
    <row r="37" spans="2:6" x14ac:dyDescent="0.3">
      <c r="B37" s="10" t="s">
        <v>36</v>
      </c>
      <c r="C37" s="7">
        <v>62079.988364333687</v>
      </c>
      <c r="D37" s="9">
        <f t="shared" si="10"/>
        <v>68977.764849259649</v>
      </c>
      <c r="E37" s="9">
        <f t="shared" si="11"/>
        <v>6897.776484925962</v>
      </c>
      <c r="F37" s="8">
        <f t="shared" si="12"/>
        <v>0.11111111111111106</v>
      </c>
    </row>
    <row r="38" spans="2:6" x14ac:dyDescent="0.3">
      <c r="B38" s="10" t="s">
        <v>37</v>
      </c>
      <c r="C38" s="7">
        <v>6207.9988364333713</v>
      </c>
      <c r="D38" s="9">
        <f t="shared" si="10"/>
        <v>6897.7764849259675</v>
      </c>
      <c r="E38" s="9">
        <f t="shared" si="11"/>
        <v>689.7776484925962</v>
      </c>
      <c r="F38" s="8">
        <f t="shared" si="12"/>
        <v>0.11111111111111101</v>
      </c>
    </row>
    <row r="39" spans="2:6" x14ac:dyDescent="0.3">
      <c r="B39" s="10" t="s">
        <v>38</v>
      </c>
      <c r="C39" s="7">
        <v>124159.97672866737</v>
      </c>
      <c r="D39" s="9">
        <f t="shared" si="10"/>
        <v>137955.5296985193</v>
      </c>
      <c r="E39" s="9">
        <f t="shared" si="8"/>
        <v>13795.552969851924</v>
      </c>
      <c r="F39" s="8">
        <f t="shared" si="9"/>
        <v>0.11111111111111106</v>
      </c>
    </row>
    <row r="40" spans="2:6" x14ac:dyDescent="0.3">
      <c r="B40" s="10" t="s">
        <v>46</v>
      </c>
      <c r="C40" s="7">
        <v>124159.97672866737</v>
      </c>
      <c r="D40" s="9">
        <f t="shared" si="10"/>
        <v>137955.5296985193</v>
      </c>
      <c r="E40" s="9">
        <f t="shared" si="8"/>
        <v>13795.552969851924</v>
      </c>
      <c r="F40" s="8">
        <f t="shared" si="9"/>
        <v>0.11111111111111106</v>
      </c>
    </row>
    <row r="41" spans="2:6" ht="15" thickBot="1" x14ac:dyDescent="0.35">
      <c r="B41" s="59" t="s">
        <v>29</v>
      </c>
      <c r="C41" s="18">
        <f>SUM(C25:C40)</f>
        <v>1438186.3971070638</v>
      </c>
      <c r="D41" s="18">
        <f>SUM(D25:D40)</f>
        <v>1593386.3680178977</v>
      </c>
      <c r="E41" s="18">
        <f>SUM(E25:E40)</f>
        <v>155199.97091083415</v>
      </c>
      <c r="F41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A207-4852-49B2-B0CC-EC51A91DC70B}">
  <sheetPr>
    <tabColor theme="4" tint="0.79998168889431442"/>
  </sheetPr>
  <dimension ref="B2:C13"/>
  <sheetViews>
    <sheetView showGridLines="0" zoomScale="115" zoomScaleNormal="115" workbookViewId="0">
      <selection activeCell="C13" sqref="C13"/>
    </sheetView>
  </sheetViews>
  <sheetFormatPr defaultRowHeight="14.4" x14ac:dyDescent="0.3"/>
  <cols>
    <col min="1" max="1" width="1.77734375" customWidth="1"/>
    <col min="2" max="2" width="29.21875" style="61" bestFit="1" customWidth="1"/>
    <col min="3" max="3" width="16.77734375" style="2" customWidth="1"/>
  </cols>
  <sheetData>
    <row r="2" spans="2:3" x14ac:dyDescent="0.3">
      <c r="B2" s="73" t="s">
        <v>42</v>
      </c>
      <c r="C2" s="4" t="s">
        <v>71</v>
      </c>
    </row>
    <row r="3" spans="2:3" x14ac:dyDescent="0.3">
      <c r="B3" s="69" t="s">
        <v>183</v>
      </c>
      <c r="C3" s="7">
        <v>100000</v>
      </c>
    </row>
    <row r="4" spans="2:3" x14ac:dyDescent="0.3">
      <c r="B4" s="69" t="s">
        <v>184</v>
      </c>
      <c r="C4" s="7">
        <v>92000</v>
      </c>
    </row>
    <row r="5" spans="2:3" x14ac:dyDescent="0.3">
      <c r="B5" s="69" t="s">
        <v>185</v>
      </c>
      <c r="C5" s="7">
        <v>120000</v>
      </c>
    </row>
    <row r="6" spans="2:3" x14ac:dyDescent="0.3">
      <c r="B6" s="69" t="s">
        <v>186</v>
      </c>
      <c r="C6" s="7">
        <v>3000</v>
      </c>
    </row>
    <row r="9" spans="2:3" x14ac:dyDescent="0.3">
      <c r="B9" s="73" t="s">
        <v>42</v>
      </c>
      <c r="C9" s="4" t="s">
        <v>71</v>
      </c>
    </row>
    <row r="10" spans="2:3" x14ac:dyDescent="0.3">
      <c r="B10" s="69" t="s">
        <v>187</v>
      </c>
      <c r="C10" s="8">
        <f>C3/C5</f>
        <v>0.83333333333333337</v>
      </c>
    </row>
    <row r="11" spans="2:3" x14ac:dyDescent="0.3">
      <c r="B11" s="69" t="s">
        <v>188</v>
      </c>
      <c r="C11" s="147">
        <f>'Revenue MIS'!H18/'Manufacturing Metrics'!C4</f>
        <v>70.108695652173907</v>
      </c>
    </row>
    <row r="12" spans="2:3" x14ac:dyDescent="0.3">
      <c r="B12" s="69" t="s">
        <v>189</v>
      </c>
      <c r="C12" s="8">
        <f>C6/C5</f>
        <v>2.5000000000000001E-2</v>
      </c>
    </row>
    <row r="13" spans="2:3" x14ac:dyDescent="0.3">
      <c r="B13" s="69" t="s">
        <v>190</v>
      </c>
      <c r="C13" s="8">
        <f>C4/C3</f>
        <v>0.92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FD99-73B3-4ECF-8236-C748E25F7874}">
  <sheetPr>
    <tabColor theme="4" tint="0.79998168889431442"/>
  </sheetPr>
  <dimension ref="B1:O18"/>
  <sheetViews>
    <sheetView showGridLines="0" zoomScaleNormal="100" workbookViewId="0">
      <selection activeCell="I26" sqref="I26"/>
    </sheetView>
  </sheetViews>
  <sheetFormatPr defaultRowHeight="14.4" x14ac:dyDescent="0.3"/>
  <cols>
    <col min="1" max="1" width="1.77734375" customWidth="1"/>
    <col min="2" max="2" width="24.77734375" bestFit="1" customWidth="1"/>
    <col min="3" max="14" width="12.77734375" style="20" customWidth="1"/>
    <col min="15" max="15" width="12.77734375" style="21" customWidth="1"/>
  </cols>
  <sheetData>
    <row r="1" spans="2:15" ht="15" thickBot="1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2"/>
    </row>
    <row r="2" spans="2:15" s="1" customFormat="1" x14ac:dyDescent="0.3">
      <c r="B2" s="16" t="s">
        <v>42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15</v>
      </c>
      <c r="C3" s="29" cm="1">
        <f t="array" ref="C3:N3">TRANSPOSE('Revenue MIS'!H6:H17)</f>
        <v>400000</v>
      </c>
      <c r="D3" s="29">
        <v>425000</v>
      </c>
      <c r="E3" s="29">
        <v>450000</v>
      </c>
      <c r="F3" s="29">
        <v>475000</v>
      </c>
      <c r="G3" s="29">
        <v>500000</v>
      </c>
      <c r="H3" s="29">
        <v>525000</v>
      </c>
      <c r="I3" s="29">
        <v>550000</v>
      </c>
      <c r="J3" s="29">
        <v>575000</v>
      </c>
      <c r="K3" s="29">
        <v>600000</v>
      </c>
      <c r="L3" s="29">
        <v>625000</v>
      </c>
      <c r="M3" s="29">
        <v>650000</v>
      </c>
      <c r="N3" s="94">
        <v>675000</v>
      </c>
      <c r="O3" s="103">
        <f>SUM(C3:N3)</f>
        <v>6450000</v>
      </c>
    </row>
    <row r="4" spans="2:15" x14ac:dyDescent="0.3">
      <c r="B4" s="23" t="s">
        <v>199</v>
      </c>
      <c r="C4" s="30">
        <f>-SUM('Expense MIS'!C4:C7)</f>
        <v>-72000</v>
      </c>
      <c r="D4" s="30">
        <f>-SUM('Expense MIS'!D4:D7)</f>
        <v>-73800</v>
      </c>
      <c r="E4" s="30">
        <f>-SUM('Expense MIS'!E4:E7)</f>
        <v>-75644.999999999985</v>
      </c>
      <c r="F4" s="30">
        <f>-SUM('Expense MIS'!F4:F7)</f>
        <v>-77536.124999999971</v>
      </c>
      <c r="G4" s="30">
        <f>-SUM('Expense MIS'!G4:G7)</f>
        <v>-79474.528124999968</v>
      </c>
      <c r="H4" s="30">
        <f>-SUM('Expense MIS'!H4:H7)</f>
        <v>-81461.391328124955</v>
      </c>
      <c r="I4" s="30">
        <f>-SUM('Expense MIS'!I4:I7)</f>
        <v>-83497.926111328081</v>
      </c>
      <c r="J4" s="30">
        <f>-SUM('Expense MIS'!J4:J7)</f>
        <v>-85585.374264111277</v>
      </c>
      <c r="K4" s="30">
        <f>-SUM('Expense MIS'!K4:K7)</f>
        <v>-87725.008620714056</v>
      </c>
      <c r="L4" s="30">
        <f>-SUM('Expense MIS'!L4:L7)</f>
        <v>-89918.133836231878</v>
      </c>
      <c r="M4" s="30">
        <f>-SUM('Expense MIS'!M4:M7)</f>
        <v>-92166.087182137664</v>
      </c>
      <c r="N4" s="30">
        <f>-SUM('Expense MIS'!N4:N7)</f>
        <v>-94470.239361691099</v>
      </c>
      <c r="O4" s="103">
        <f>SUM(C4:N4)</f>
        <v>-993279.81382933899</v>
      </c>
    </row>
    <row r="5" spans="2:15" s="1" customFormat="1" x14ac:dyDescent="0.3">
      <c r="B5" s="25" t="s">
        <v>200</v>
      </c>
      <c r="C5" s="27">
        <f>SUM(C3:C4)</f>
        <v>328000</v>
      </c>
      <c r="D5" s="27">
        <f t="shared" ref="D5:N5" si="0">SUM(D3:D4)</f>
        <v>351200</v>
      </c>
      <c r="E5" s="27">
        <f t="shared" si="0"/>
        <v>374355</v>
      </c>
      <c r="F5" s="27">
        <f t="shared" si="0"/>
        <v>397463.875</v>
      </c>
      <c r="G5" s="27">
        <f t="shared" si="0"/>
        <v>420525.47187500005</v>
      </c>
      <c r="H5" s="27">
        <f t="shared" si="0"/>
        <v>443538.60867187503</v>
      </c>
      <c r="I5" s="27">
        <f t="shared" si="0"/>
        <v>466502.07388867193</v>
      </c>
      <c r="J5" s="27">
        <f t="shared" si="0"/>
        <v>489414.62573588872</v>
      </c>
      <c r="K5" s="27">
        <f t="shared" si="0"/>
        <v>512274.99137928593</v>
      </c>
      <c r="L5" s="27">
        <f t="shared" si="0"/>
        <v>535081.86616376811</v>
      </c>
      <c r="M5" s="27">
        <f t="shared" si="0"/>
        <v>557833.91281786235</v>
      </c>
      <c r="N5" s="27">
        <f t="shared" si="0"/>
        <v>580529.76063830894</v>
      </c>
      <c r="O5" s="145">
        <f>SUM(C5:N5)</f>
        <v>5456720.1861706609</v>
      </c>
    </row>
    <row r="6" spans="2:15" x14ac:dyDescent="0.3">
      <c r="B6" s="64" t="s">
        <v>202</v>
      </c>
      <c r="C6" s="65">
        <f>C5/C3</f>
        <v>0.82</v>
      </c>
      <c r="D6" s="65">
        <f t="shared" ref="D6:O6" si="1">D5/D3</f>
        <v>0.82635294117647062</v>
      </c>
      <c r="E6" s="65">
        <f t="shared" si="1"/>
        <v>0.83189999999999997</v>
      </c>
      <c r="F6" s="65">
        <f t="shared" si="1"/>
        <v>0.83676605263157899</v>
      </c>
      <c r="G6" s="65">
        <f t="shared" si="1"/>
        <v>0.84105094375000011</v>
      </c>
      <c r="H6" s="65">
        <f t="shared" si="1"/>
        <v>0.84483544508928576</v>
      </c>
      <c r="I6" s="65">
        <f t="shared" si="1"/>
        <v>0.84818558888849438</v>
      </c>
      <c r="J6" s="65">
        <f t="shared" si="1"/>
        <v>0.85115587084502387</v>
      </c>
      <c r="K6" s="65">
        <f t="shared" si="1"/>
        <v>0.85379165229880993</v>
      </c>
      <c r="L6" s="65">
        <f t="shared" si="1"/>
        <v>0.85613098586202896</v>
      </c>
      <c r="M6" s="65">
        <f t="shared" si="1"/>
        <v>0.85820601971978827</v>
      </c>
      <c r="N6" s="65">
        <f t="shared" si="1"/>
        <v>0.86004408983453173</v>
      </c>
      <c r="O6" s="105">
        <f t="shared" si="1"/>
        <v>0.84600312963886215</v>
      </c>
    </row>
    <row r="7" spans="2:15" x14ac:dyDescent="0.3">
      <c r="B7" s="10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94"/>
      <c r="O7" s="103"/>
    </row>
    <row r="8" spans="2:15" x14ac:dyDescent="0.3">
      <c r="B8" s="10" t="s">
        <v>201</v>
      </c>
      <c r="C8" s="29">
        <f>-SUM('Expense MIS'!C10:C19)</f>
        <v>-43500</v>
      </c>
      <c r="D8" s="29">
        <f>-SUM('Expense MIS'!D10:D19)</f>
        <v>-44587.5</v>
      </c>
      <c r="E8" s="29">
        <f>-SUM('Expense MIS'!E10:E19)</f>
        <v>-45702.187499999993</v>
      </c>
      <c r="F8" s="29">
        <f>-SUM('Expense MIS'!F10:F19)</f>
        <v>-46844.742187499985</v>
      </c>
      <c r="G8" s="29">
        <f>-SUM('Expense MIS'!G10:G19)</f>
        <v>-48015.860742187477</v>
      </c>
      <c r="H8" s="29">
        <f>-SUM('Expense MIS'!H10:H19)</f>
        <v>-49216.257260742161</v>
      </c>
      <c r="I8" s="29">
        <f>-SUM('Expense MIS'!I10:I19)</f>
        <v>-50446.663692260714</v>
      </c>
      <c r="J8" s="29">
        <f>-SUM('Expense MIS'!J10:J19)</f>
        <v>-51707.83028456723</v>
      </c>
      <c r="K8" s="29">
        <f>-SUM('Expense MIS'!K10:K19)</f>
        <v>-53000.526041681405</v>
      </c>
      <c r="L8" s="29">
        <f>-SUM('Expense MIS'!L10:L19)</f>
        <v>-54325.539192723438</v>
      </c>
      <c r="M8" s="29">
        <f>-SUM('Expense MIS'!M10:M19)</f>
        <v>-55683.677672541518</v>
      </c>
      <c r="N8" s="29">
        <f>-SUM('Expense MIS'!N10:N19)</f>
        <v>-57075.769614355049</v>
      </c>
      <c r="O8" s="103">
        <f>SUM(C8:N8)</f>
        <v>-600106.55418855895</v>
      </c>
    </row>
    <row r="9" spans="2:15" s="1" customFormat="1" x14ac:dyDescent="0.3">
      <c r="B9" s="25" t="s">
        <v>6</v>
      </c>
      <c r="C9" s="27">
        <f>C5+C8</f>
        <v>284500</v>
      </c>
      <c r="D9" s="27">
        <f t="shared" ref="D9:N9" si="2">D5+D8</f>
        <v>306612.5</v>
      </c>
      <c r="E9" s="27">
        <f t="shared" si="2"/>
        <v>328652.8125</v>
      </c>
      <c r="F9" s="27">
        <f t="shared" si="2"/>
        <v>350619.1328125</v>
      </c>
      <c r="G9" s="27">
        <f t="shared" si="2"/>
        <v>372509.61113281257</v>
      </c>
      <c r="H9" s="27">
        <f t="shared" si="2"/>
        <v>394322.35141113284</v>
      </c>
      <c r="I9" s="27">
        <f t="shared" si="2"/>
        <v>416055.41019641119</v>
      </c>
      <c r="J9" s="27">
        <f t="shared" si="2"/>
        <v>437706.79545132152</v>
      </c>
      <c r="K9" s="27">
        <f t="shared" si="2"/>
        <v>459274.46533760452</v>
      </c>
      <c r="L9" s="27">
        <f t="shared" si="2"/>
        <v>480756.32697104465</v>
      </c>
      <c r="M9" s="27">
        <f t="shared" si="2"/>
        <v>502150.23514532082</v>
      </c>
      <c r="N9" s="27">
        <f t="shared" si="2"/>
        <v>523453.99102395389</v>
      </c>
      <c r="O9" s="104">
        <f>SUM(C9:N9)</f>
        <v>4856613.631982103</v>
      </c>
    </row>
    <row r="10" spans="2:15" s="62" customFormat="1" x14ac:dyDescent="0.3">
      <c r="B10" s="64" t="s">
        <v>10</v>
      </c>
      <c r="C10" s="65">
        <f t="shared" ref="C10:O10" si="3">C9/C3</f>
        <v>0.71125000000000005</v>
      </c>
      <c r="D10" s="65">
        <f t="shared" si="3"/>
        <v>0.72144117647058825</v>
      </c>
      <c r="E10" s="65">
        <f t="shared" si="3"/>
        <v>0.73033958333333338</v>
      </c>
      <c r="F10" s="65">
        <f t="shared" si="3"/>
        <v>0.73814554276315791</v>
      </c>
      <c r="G10" s="65">
        <f t="shared" si="3"/>
        <v>0.74501922226562511</v>
      </c>
      <c r="H10" s="65">
        <f t="shared" si="3"/>
        <v>0.75109019316406256</v>
      </c>
      <c r="I10" s="65">
        <f t="shared" si="3"/>
        <v>0.7564643821752931</v>
      </c>
      <c r="J10" s="65">
        <f t="shared" si="3"/>
        <v>0.76122920948055917</v>
      </c>
      <c r="K10" s="65">
        <f t="shared" si="3"/>
        <v>0.76545744222934087</v>
      </c>
      <c r="L10" s="65">
        <f t="shared" si="3"/>
        <v>0.76921012315367143</v>
      </c>
      <c r="M10" s="65">
        <f t="shared" si="3"/>
        <v>0.77253882330049362</v>
      </c>
      <c r="N10" s="96">
        <f t="shared" si="3"/>
        <v>0.77548739410956136</v>
      </c>
      <c r="O10" s="105">
        <f t="shared" si="3"/>
        <v>0.75296335379567492</v>
      </c>
    </row>
    <row r="11" spans="2:15" x14ac:dyDescent="0.3">
      <c r="B11" s="2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97"/>
      <c r="O11" s="106"/>
    </row>
    <row r="12" spans="2:15" x14ac:dyDescent="0.3">
      <c r="B12" s="10" t="s">
        <v>43</v>
      </c>
      <c r="C12" s="29">
        <f>-SUM('Expense MIS'!C$16:C$17)</f>
        <v>-5500</v>
      </c>
      <c r="D12" s="29">
        <f>-SUM('Expense MIS'!D$16:D$17)</f>
        <v>-5637.5</v>
      </c>
      <c r="E12" s="29">
        <f>-SUM('Expense MIS'!E$16:E$17)</f>
        <v>-5778.4374999999991</v>
      </c>
      <c r="F12" s="29">
        <f>-SUM('Expense MIS'!F$16:F$17)</f>
        <v>-5922.8984374999982</v>
      </c>
      <c r="G12" s="29">
        <f>-SUM('Expense MIS'!G$16:G$17)</f>
        <v>-6070.9708984374975</v>
      </c>
      <c r="H12" s="29">
        <f>-SUM('Expense MIS'!H$16:H$17)</f>
        <v>-6222.7451708984345</v>
      </c>
      <c r="I12" s="29">
        <f>-SUM('Expense MIS'!I$16:I$17)</f>
        <v>-6378.3138001708949</v>
      </c>
      <c r="J12" s="29">
        <f>-SUM('Expense MIS'!J$16:J$17)</f>
        <v>-6537.7716451751667</v>
      </c>
      <c r="K12" s="29">
        <f>-SUM('Expense MIS'!K$16:K$17)</f>
        <v>-6701.2159363045448</v>
      </c>
      <c r="L12" s="29">
        <f>-SUM('Expense MIS'!L$16:L$17)</f>
        <v>-6868.7463347121584</v>
      </c>
      <c r="M12" s="29">
        <f>-SUM('Expense MIS'!M$16:M$17)</f>
        <v>-7040.4649930799615</v>
      </c>
      <c r="N12" s="94">
        <f>-SUM('Expense MIS'!N$16:N$17)</f>
        <v>-7216.4766179069593</v>
      </c>
      <c r="O12" s="103">
        <f t="shared" ref="O12:O14" si="4">SUM(C12:N12)</f>
        <v>-75875.541334185618</v>
      </c>
    </row>
    <row r="13" spans="2:15" x14ac:dyDescent="0.3">
      <c r="B13" s="23" t="s">
        <v>38</v>
      </c>
      <c r="C13" s="30">
        <f>-'Expense MIS'!C$18</f>
        <v>-10000</v>
      </c>
      <c r="D13" s="30">
        <f>-'Expense MIS'!D$18</f>
        <v>-10250</v>
      </c>
      <c r="E13" s="30">
        <f>-'Expense MIS'!E$18</f>
        <v>-10506.249999999998</v>
      </c>
      <c r="F13" s="30">
        <f>-'Expense MIS'!F$18</f>
        <v>-10768.906249999996</v>
      </c>
      <c r="G13" s="30">
        <f>-'Expense MIS'!G$18</f>
        <v>-11038.128906249995</v>
      </c>
      <c r="H13" s="30">
        <f>-'Expense MIS'!H$18</f>
        <v>-11314.082128906244</v>
      </c>
      <c r="I13" s="30">
        <f>-'Expense MIS'!I$18</f>
        <v>-11596.9341821289</v>
      </c>
      <c r="J13" s="30">
        <f>-'Expense MIS'!J$18</f>
        <v>-11886.857536682121</v>
      </c>
      <c r="K13" s="30">
        <f>-'Expense MIS'!K$18</f>
        <v>-12184.028975099172</v>
      </c>
      <c r="L13" s="30">
        <f>-'Expense MIS'!L$18</f>
        <v>-12488.629699476651</v>
      </c>
      <c r="M13" s="30">
        <f>-'Expense MIS'!M$18</f>
        <v>-12800.845441963565</v>
      </c>
      <c r="N13" s="98">
        <f>-'Expense MIS'!N$18</f>
        <v>-13120.866578012654</v>
      </c>
      <c r="O13" s="107">
        <f t="shared" si="4"/>
        <v>-137955.5296985193</v>
      </c>
    </row>
    <row r="14" spans="2:15" s="1" customFormat="1" x14ac:dyDescent="0.3">
      <c r="B14" s="25" t="s">
        <v>44</v>
      </c>
      <c r="C14" s="27">
        <f>SUM(C9,C12:C13)</f>
        <v>269000</v>
      </c>
      <c r="D14" s="27">
        <f t="shared" ref="D14:N14" si="5">SUM(D9,D12:D13)</f>
        <v>290725</v>
      </c>
      <c r="E14" s="27">
        <f t="shared" si="5"/>
        <v>312368.125</v>
      </c>
      <c r="F14" s="27">
        <f t="shared" si="5"/>
        <v>333927.328125</v>
      </c>
      <c r="G14" s="27">
        <f t="shared" si="5"/>
        <v>355400.51132812508</v>
      </c>
      <c r="H14" s="27">
        <f t="shared" si="5"/>
        <v>376785.52411132818</v>
      </c>
      <c r="I14" s="27">
        <f t="shared" si="5"/>
        <v>398080.16221411136</v>
      </c>
      <c r="J14" s="27">
        <f t="shared" si="5"/>
        <v>419282.16626946424</v>
      </c>
      <c r="K14" s="27">
        <f t="shared" si="5"/>
        <v>440389.22042620083</v>
      </c>
      <c r="L14" s="27">
        <f t="shared" si="5"/>
        <v>461398.95093685586</v>
      </c>
      <c r="M14" s="27">
        <f t="shared" si="5"/>
        <v>482308.92471027729</v>
      </c>
      <c r="N14" s="95">
        <f t="shared" si="5"/>
        <v>503116.6478280343</v>
      </c>
      <c r="O14" s="104">
        <f t="shared" si="4"/>
        <v>4642782.5609493973</v>
      </c>
    </row>
    <row r="15" spans="2:15" x14ac:dyDescent="0.3">
      <c r="B15" s="24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97"/>
      <c r="O15" s="106"/>
    </row>
    <row r="16" spans="2:15" x14ac:dyDescent="0.3">
      <c r="B16" s="23" t="s">
        <v>45</v>
      </c>
      <c r="C16" s="26">
        <f>-'Expense MIS'!C$19</f>
        <v>-10000</v>
      </c>
      <c r="D16" s="26">
        <f>-'Expense MIS'!D$19</f>
        <v>-10250</v>
      </c>
      <c r="E16" s="26">
        <f>-'Expense MIS'!E$19</f>
        <v>-10506.249999999998</v>
      </c>
      <c r="F16" s="26">
        <f>-'Expense MIS'!F$19</f>
        <v>-10768.906249999996</v>
      </c>
      <c r="G16" s="26">
        <f>-'Expense MIS'!G$19</f>
        <v>-11038.128906249995</v>
      </c>
      <c r="H16" s="26">
        <f>-'Expense MIS'!H$19</f>
        <v>-11314.082128906244</v>
      </c>
      <c r="I16" s="26">
        <f>-'Expense MIS'!I$19</f>
        <v>-11596.9341821289</v>
      </c>
      <c r="J16" s="26">
        <f>-'Expense MIS'!J$19</f>
        <v>-11886.857536682121</v>
      </c>
      <c r="K16" s="26">
        <f>-'Expense MIS'!K$19</f>
        <v>-12184.028975099172</v>
      </c>
      <c r="L16" s="26">
        <f>-'Expense MIS'!L$19</f>
        <v>-12488.629699476651</v>
      </c>
      <c r="M16" s="26">
        <f>-'Expense MIS'!M$19</f>
        <v>-12800.845441963565</v>
      </c>
      <c r="N16" s="99">
        <f>-'Expense MIS'!N$19</f>
        <v>-13120.866578012654</v>
      </c>
      <c r="O16" s="107">
        <f t="shared" ref="O16:O17" si="6">SUM(C16:N16)</f>
        <v>-137955.5296985193</v>
      </c>
    </row>
    <row r="17" spans="2:15" s="1" customFormat="1" ht="15" thickBot="1" x14ac:dyDescent="0.35">
      <c r="B17" s="17" t="s">
        <v>7</v>
      </c>
      <c r="C17" s="31">
        <f>SUM(C14,C16)</f>
        <v>259000</v>
      </c>
      <c r="D17" s="31">
        <f t="shared" ref="D17:N17" si="7">SUM(D14,D16)</f>
        <v>280475</v>
      </c>
      <c r="E17" s="31">
        <f t="shared" si="7"/>
        <v>301861.875</v>
      </c>
      <c r="F17" s="31">
        <f t="shared" si="7"/>
        <v>323158.421875</v>
      </c>
      <c r="G17" s="31">
        <f t="shared" si="7"/>
        <v>344362.38242187508</v>
      </c>
      <c r="H17" s="31">
        <f t="shared" si="7"/>
        <v>365471.44198242191</v>
      </c>
      <c r="I17" s="31">
        <f t="shared" si="7"/>
        <v>386483.22803198243</v>
      </c>
      <c r="J17" s="31">
        <f t="shared" si="7"/>
        <v>407395.30873278214</v>
      </c>
      <c r="K17" s="31">
        <f t="shared" si="7"/>
        <v>428205.19145110168</v>
      </c>
      <c r="L17" s="31">
        <f t="shared" si="7"/>
        <v>448910.32123737922</v>
      </c>
      <c r="M17" s="31">
        <f t="shared" si="7"/>
        <v>469508.07926831371</v>
      </c>
      <c r="N17" s="100">
        <f t="shared" si="7"/>
        <v>489995.78125002165</v>
      </c>
      <c r="O17" s="108">
        <f t="shared" si="6"/>
        <v>4504827.0312508773</v>
      </c>
    </row>
    <row r="18" spans="2:15" s="62" customFormat="1" ht="15" thickBot="1" x14ac:dyDescent="0.35">
      <c r="B18" s="63" t="s">
        <v>11</v>
      </c>
      <c r="C18" s="66">
        <f t="shared" ref="C18:O18" si="8">C17/C3</f>
        <v>0.64749999999999996</v>
      </c>
      <c r="D18" s="66">
        <f t="shared" si="8"/>
        <v>0.65994117647058825</v>
      </c>
      <c r="E18" s="66">
        <f t="shared" si="8"/>
        <v>0.67080416666666665</v>
      </c>
      <c r="F18" s="66">
        <f t="shared" si="8"/>
        <v>0.68033351973684209</v>
      </c>
      <c r="G18" s="66">
        <f t="shared" si="8"/>
        <v>0.68872476484375011</v>
      </c>
      <c r="H18" s="66">
        <f t="shared" si="8"/>
        <v>0.69613607996651794</v>
      </c>
      <c r="I18" s="66">
        <f t="shared" si="8"/>
        <v>0.70269677823996801</v>
      </c>
      <c r="J18" s="66">
        <f t="shared" si="8"/>
        <v>0.70851358040483847</v>
      </c>
      <c r="K18" s="66">
        <f t="shared" si="8"/>
        <v>0.71367531908516946</v>
      </c>
      <c r="L18" s="66">
        <f t="shared" si="8"/>
        <v>0.71825651397980672</v>
      </c>
      <c r="M18" s="66">
        <f t="shared" si="8"/>
        <v>0.72232012195125184</v>
      </c>
      <c r="N18" s="101">
        <f t="shared" si="8"/>
        <v>0.72591967592595796</v>
      </c>
      <c r="O18" s="109">
        <f t="shared" si="8"/>
        <v>0.69842279554277165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901-E28D-4704-A9A6-6D99D756AAE8}">
  <sheetPr>
    <tabColor theme="4" tint="0.79998168889431442"/>
  </sheetPr>
  <dimension ref="B1:O21"/>
  <sheetViews>
    <sheetView showGridLines="0" workbookViewId="0">
      <selection activeCell="D25" sqref="D25"/>
    </sheetView>
  </sheetViews>
  <sheetFormatPr defaultRowHeight="14.4" x14ac:dyDescent="0.3"/>
  <cols>
    <col min="1" max="1" width="1.77734375" customWidth="1"/>
    <col min="2" max="2" width="30.77734375" bestFit="1" customWidth="1"/>
    <col min="3" max="15" width="12.77734375" style="2" customWidth="1"/>
  </cols>
  <sheetData>
    <row r="1" spans="2:15" ht="15" thickBot="1" x14ac:dyDescent="0.35"/>
    <row r="2" spans="2:15" x14ac:dyDescent="0.3">
      <c r="B2" s="16" t="s">
        <v>42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47</v>
      </c>
      <c r="C3" s="37">
        <v>200000</v>
      </c>
      <c r="D3" s="37">
        <v>205000</v>
      </c>
      <c r="E3" s="37">
        <v>210000</v>
      </c>
      <c r="F3" s="37">
        <v>215000</v>
      </c>
      <c r="G3" s="37">
        <v>220000</v>
      </c>
      <c r="H3" s="37">
        <v>225000</v>
      </c>
      <c r="I3" s="37">
        <v>230000</v>
      </c>
      <c r="J3" s="37">
        <v>235000</v>
      </c>
      <c r="K3" s="37">
        <v>240000</v>
      </c>
      <c r="L3" s="37">
        <v>245000</v>
      </c>
      <c r="M3" s="37">
        <v>250000</v>
      </c>
      <c r="N3" s="110">
        <v>255000</v>
      </c>
      <c r="O3" s="115">
        <f>SUM(C3:N3)</f>
        <v>2730000</v>
      </c>
    </row>
    <row r="4" spans="2:15" x14ac:dyDescent="0.3">
      <c r="B4" s="10" t="s">
        <v>48</v>
      </c>
      <c r="C4" s="37">
        <v>-100000</v>
      </c>
      <c r="D4" s="37">
        <v>-105000</v>
      </c>
      <c r="E4" s="37">
        <v>-110000</v>
      </c>
      <c r="F4" s="37">
        <v>-115000</v>
      </c>
      <c r="G4" s="37">
        <v>-120000</v>
      </c>
      <c r="H4" s="37">
        <v>-125000</v>
      </c>
      <c r="I4" s="37">
        <v>-130000</v>
      </c>
      <c r="J4" s="37">
        <v>-135000</v>
      </c>
      <c r="K4" s="37">
        <v>-140000</v>
      </c>
      <c r="L4" s="37">
        <v>-145000</v>
      </c>
      <c r="M4" s="37">
        <v>-150000</v>
      </c>
      <c r="N4" s="110">
        <v>-155000</v>
      </c>
      <c r="O4" s="115">
        <f t="shared" ref="O4:O20" si="0">SUM(C4:N4)</f>
        <v>-1530000</v>
      </c>
    </row>
    <row r="5" spans="2:15" x14ac:dyDescent="0.3">
      <c r="B5" s="10" t="s">
        <v>49</v>
      </c>
      <c r="C5" s="37">
        <v>-10000</v>
      </c>
      <c r="D5" s="37">
        <v>-15000</v>
      </c>
      <c r="E5" s="37">
        <v>-20000</v>
      </c>
      <c r="F5" s="37">
        <v>-25000</v>
      </c>
      <c r="G5" s="37">
        <v>-30000</v>
      </c>
      <c r="H5" s="37">
        <v>-35000</v>
      </c>
      <c r="I5" s="37">
        <v>-40000</v>
      </c>
      <c r="J5" s="37">
        <v>-45000</v>
      </c>
      <c r="K5" s="37">
        <v>-50000</v>
      </c>
      <c r="L5" s="37">
        <v>-55000</v>
      </c>
      <c r="M5" s="37">
        <v>-60000</v>
      </c>
      <c r="N5" s="110">
        <v>-65000</v>
      </c>
      <c r="O5" s="115">
        <f t="shared" si="0"/>
        <v>-450000</v>
      </c>
    </row>
    <row r="6" spans="2:15" x14ac:dyDescent="0.3">
      <c r="B6" s="23" t="s">
        <v>50</v>
      </c>
      <c r="C6" s="38">
        <v>-30000</v>
      </c>
      <c r="D6" s="38">
        <v>-35000</v>
      </c>
      <c r="E6" s="38">
        <v>-40000</v>
      </c>
      <c r="F6" s="38">
        <v>-45000</v>
      </c>
      <c r="G6" s="38">
        <v>-50000</v>
      </c>
      <c r="H6" s="38">
        <v>-55000</v>
      </c>
      <c r="I6" s="38">
        <v>-60000</v>
      </c>
      <c r="J6" s="38">
        <v>-65000</v>
      </c>
      <c r="K6" s="38">
        <v>-70000</v>
      </c>
      <c r="L6" s="38">
        <v>-75000</v>
      </c>
      <c r="M6" s="38">
        <v>-80000</v>
      </c>
      <c r="N6" s="111">
        <v>-85000</v>
      </c>
      <c r="O6" s="115">
        <f t="shared" si="0"/>
        <v>-690000</v>
      </c>
    </row>
    <row r="7" spans="2:15" s="1" customFormat="1" x14ac:dyDescent="0.3">
      <c r="B7" s="35" t="s">
        <v>51</v>
      </c>
      <c r="C7" s="39">
        <f>SUM(C3:C6)</f>
        <v>60000</v>
      </c>
      <c r="D7" s="39">
        <f t="shared" ref="D7:N7" si="1">SUM(D3:D6)</f>
        <v>50000</v>
      </c>
      <c r="E7" s="39">
        <f t="shared" si="1"/>
        <v>40000</v>
      </c>
      <c r="F7" s="39">
        <f t="shared" si="1"/>
        <v>30000</v>
      </c>
      <c r="G7" s="39">
        <f t="shared" si="1"/>
        <v>20000</v>
      </c>
      <c r="H7" s="39">
        <f t="shared" si="1"/>
        <v>10000</v>
      </c>
      <c r="I7" s="39">
        <f t="shared" si="1"/>
        <v>0</v>
      </c>
      <c r="J7" s="39">
        <f t="shared" si="1"/>
        <v>-10000</v>
      </c>
      <c r="K7" s="39">
        <f t="shared" si="1"/>
        <v>-20000</v>
      </c>
      <c r="L7" s="39">
        <f t="shared" si="1"/>
        <v>-30000</v>
      </c>
      <c r="M7" s="39">
        <f t="shared" si="1"/>
        <v>-40000</v>
      </c>
      <c r="N7" s="112">
        <f t="shared" si="1"/>
        <v>-50000</v>
      </c>
      <c r="O7" s="116">
        <f t="shared" si="0"/>
        <v>60000</v>
      </c>
    </row>
    <row r="8" spans="2:15" x14ac:dyDescent="0.3">
      <c r="B8" s="2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113"/>
      <c r="O8" s="117"/>
    </row>
    <row r="9" spans="2:15" x14ac:dyDescent="0.3">
      <c r="B9" s="10" t="s">
        <v>52</v>
      </c>
      <c r="C9" s="37">
        <v>-250000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110"/>
      <c r="O9" s="115">
        <f t="shared" si="0"/>
        <v>-250000</v>
      </c>
    </row>
    <row r="10" spans="2:15" x14ac:dyDescent="0.3">
      <c r="B10" s="23" t="s">
        <v>53</v>
      </c>
      <c r="C10" s="38"/>
      <c r="D10" s="38"/>
      <c r="E10" s="38"/>
      <c r="F10" s="38"/>
      <c r="G10" s="38"/>
      <c r="H10" s="38">
        <v>-100000</v>
      </c>
      <c r="I10" s="38"/>
      <c r="J10" s="38"/>
      <c r="K10" s="38"/>
      <c r="L10" s="38"/>
      <c r="M10" s="38"/>
      <c r="N10" s="111"/>
      <c r="O10" s="118">
        <f t="shared" si="0"/>
        <v>-100000</v>
      </c>
    </row>
    <row r="11" spans="2:15" s="1" customFormat="1" x14ac:dyDescent="0.3">
      <c r="B11" s="35" t="s">
        <v>54</v>
      </c>
      <c r="C11" s="39">
        <f>SUM(C9:C10)</f>
        <v>-250000</v>
      </c>
      <c r="D11" s="39">
        <f t="shared" ref="D11:N11" si="2">SUM(D9:D10)</f>
        <v>0</v>
      </c>
      <c r="E11" s="39">
        <f t="shared" si="2"/>
        <v>0</v>
      </c>
      <c r="F11" s="39">
        <f t="shared" si="2"/>
        <v>0</v>
      </c>
      <c r="G11" s="39">
        <f t="shared" si="2"/>
        <v>0</v>
      </c>
      <c r="H11" s="39">
        <f t="shared" si="2"/>
        <v>-100000</v>
      </c>
      <c r="I11" s="39">
        <f t="shared" si="2"/>
        <v>0</v>
      </c>
      <c r="J11" s="39">
        <f t="shared" si="2"/>
        <v>0</v>
      </c>
      <c r="K11" s="39">
        <f t="shared" si="2"/>
        <v>0</v>
      </c>
      <c r="L11" s="39">
        <f t="shared" si="2"/>
        <v>0</v>
      </c>
      <c r="M11" s="39">
        <f t="shared" si="2"/>
        <v>0</v>
      </c>
      <c r="N11" s="112">
        <f t="shared" si="2"/>
        <v>0</v>
      </c>
      <c r="O11" s="116">
        <f t="shared" si="0"/>
        <v>-350000</v>
      </c>
    </row>
    <row r="12" spans="2:15" x14ac:dyDescent="0.3">
      <c r="B12" s="2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13"/>
      <c r="O12" s="117"/>
    </row>
    <row r="13" spans="2:15" x14ac:dyDescent="0.3">
      <c r="B13" s="10" t="s">
        <v>55</v>
      </c>
      <c r="C13" s="37">
        <v>1000000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10"/>
      <c r="O13" s="115">
        <f t="shared" si="0"/>
        <v>1000000</v>
      </c>
    </row>
    <row r="14" spans="2:15" x14ac:dyDescent="0.3">
      <c r="B14" s="10" t="s">
        <v>56</v>
      </c>
      <c r="C14" s="37">
        <v>500000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110"/>
      <c r="O14" s="115">
        <f t="shared" si="0"/>
        <v>500000</v>
      </c>
    </row>
    <row r="15" spans="2:15" x14ac:dyDescent="0.3">
      <c r="B15" s="10" t="s">
        <v>57</v>
      </c>
      <c r="C15" s="37"/>
      <c r="D15" s="37">
        <v>-100000</v>
      </c>
      <c r="E15" s="37">
        <v>-100000</v>
      </c>
      <c r="F15" s="37">
        <v>-100000</v>
      </c>
      <c r="G15" s="37">
        <v>-100000</v>
      </c>
      <c r="H15" s="37">
        <v>-100000</v>
      </c>
      <c r="I15" s="37"/>
      <c r="J15" s="37"/>
      <c r="K15" s="37"/>
      <c r="L15" s="37"/>
      <c r="M15" s="37"/>
      <c r="N15" s="110"/>
      <c r="O15" s="115">
        <f t="shared" si="0"/>
        <v>-500000</v>
      </c>
    </row>
    <row r="16" spans="2:15" x14ac:dyDescent="0.3">
      <c r="B16" s="23" t="s">
        <v>58</v>
      </c>
      <c r="C16" s="38"/>
      <c r="D16" s="38">
        <v>-10000</v>
      </c>
      <c r="E16" s="38">
        <v>-10000</v>
      </c>
      <c r="F16" s="38">
        <v>-10000</v>
      </c>
      <c r="G16" s="38">
        <v>-10000</v>
      </c>
      <c r="H16" s="38">
        <v>-10000</v>
      </c>
      <c r="I16" s="38"/>
      <c r="J16" s="38"/>
      <c r="K16" s="38"/>
      <c r="L16" s="38"/>
      <c r="M16" s="38"/>
      <c r="N16" s="111"/>
      <c r="O16" s="118">
        <f t="shared" si="0"/>
        <v>-50000</v>
      </c>
    </row>
    <row r="17" spans="2:15" s="1" customFormat="1" x14ac:dyDescent="0.3">
      <c r="B17" s="35" t="s">
        <v>59</v>
      </c>
      <c r="C17" s="39">
        <f>SUM(C13:C16)</f>
        <v>1500000</v>
      </c>
      <c r="D17" s="39">
        <f t="shared" ref="D17:N17" si="3">SUM(D13:D16)</f>
        <v>-110000</v>
      </c>
      <c r="E17" s="39">
        <f t="shared" si="3"/>
        <v>-110000</v>
      </c>
      <c r="F17" s="39">
        <f t="shared" si="3"/>
        <v>-110000</v>
      </c>
      <c r="G17" s="39">
        <f t="shared" si="3"/>
        <v>-110000</v>
      </c>
      <c r="H17" s="39">
        <f t="shared" si="3"/>
        <v>-110000</v>
      </c>
      <c r="I17" s="39">
        <f t="shared" si="3"/>
        <v>0</v>
      </c>
      <c r="J17" s="39">
        <f t="shared" si="3"/>
        <v>0</v>
      </c>
      <c r="K17" s="39">
        <f t="shared" si="3"/>
        <v>0</v>
      </c>
      <c r="L17" s="39">
        <f t="shared" si="3"/>
        <v>0</v>
      </c>
      <c r="M17" s="39">
        <f t="shared" si="3"/>
        <v>0</v>
      </c>
      <c r="N17" s="112">
        <f t="shared" si="3"/>
        <v>0</v>
      </c>
      <c r="O17" s="116">
        <f t="shared" si="0"/>
        <v>950000</v>
      </c>
    </row>
    <row r="18" spans="2:15" x14ac:dyDescent="0.3">
      <c r="B18" s="2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13"/>
      <c r="O18" s="117"/>
    </row>
    <row r="19" spans="2:15" x14ac:dyDescent="0.3">
      <c r="B19" s="23" t="s">
        <v>60</v>
      </c>
      <c r="C19" s="38">
        <v>100000</v>
      </c>
      <c r="D19" s="13">
        <f>C21</f>
        <v>1410000</v>
      </c>
      <c r="E19" s="13">
        <f t="shared" ref="E19:N19" si="4">D21</f>
        <v>1350000</v>
      </c>
      <c r="F19" s="13">
        <f t="shared" si="4"/>
        <v>1280000</v>
      </c>
      <c r="G19" s="13">
        <f t="shared" si="4"/>
        <v>1200000</v>
      </c>
      <c r="H19" s="13">
        <f t="shared" si="4"/>
        <v>1110000</v>
      </c>
      <c r="I19" s="13">
        <f t="shared" si="4"/>
        <v>910000</v>
      </c>
      <c r="J19" s="13">
        <f t="shared" si="4"/>
        <v>910000</v>
      </c>
      <c r="K19" s="13">
        <f t="shared" si="4"/>
        <v>900000</v>
      </c>
      <c r="L19" s="13">
        <f t="shared" si="4"/>
        <v>880000</v>
      </c>
      <c r="M19" s="13">
        <f t="shared" si="4"/>
        <v>850000</v>
      </c>
      <c r="N19" s="92">
        <f t="shared" si="4"/>
        <v>810000</v>
      </c>
      <c r="O19" s="118">
        <f>C19</f>
        <v>100000</v>
      </c>
    </row>
    <row r="20" spans="2:15" s="1" customFormat="1" x14ac:dyDescent="0.3">
      <c r="B20" s="36" t="s">
        <v>61</v>
      </c>
      <c r="C20" s="41">
        <f t="shared" ref="C20:N20" si="5">SUM(C7,C11,C17)</f>
        <v>1310000</v>
      </c>
      <c r="D20" s="41">
        <f t="shared" si="5"/>
        <v>-60000</v>
      </c>
      <c r="E20" s="41">
        <f t="shared" si="5"/>
        <v>-70000</v>
      </c>
      <c r="F20" s="41">
        <f t="shared" si="5"/>
        <v>-80000</v>
      </c>
      <c r="G20" s="41">
        <f t="shared" si="5"/>
        <v>-90000</v>
      </c>
      <c r="H20" s="41">
        <f t="shared" si="5"/>
        <v>-200000</v>
      </c>
      <c r="I20" s="41">
        <f t="shared" si="5"/>
        <v>0</v>
      </c>
      <c r="J20" s="41">
        <f t="shared" si="5"/>
        <v>-10000</v>
      </c>
      <c r="K20" s="41">
        <f t="shared" si="5"/>
        <v>-20000</v>
      </c>
      <c r="L20" s="41">
        <f t="shared" si="5"/>
        <v>-30000</v>
      </c>
      <c r="M20" s="41">
        <f t="shared" si="5"/>
        <v>-40000</v>
      </c>
      <c r="N20" s="114">
        <f t="shared" si="5"/>
        <v>-50000</v>
      </c>
      <c r="O20" s="119">
        <f t="shared" si="0"/>
        <v>660000</v>
      </c>
    </row>
    <row r="21" spans="2:15" ht="15" thickBot="1" x14ac:dyDescent="0.35">
      <c r="B21" s="24" t="s">
        <v>62</v>
      </c>
      <c r="C21" s="40">
        <f>SUM(C19:C20)</f>
        <v>1410000</v>
      </c>
      <c r="D21" s="40">
        <f t="shared" ref="D21:N21" si="6">SUM(D19:D20)</f>
        <v>1350000</v>
      </c>
      <c r="E21" s="40">
        <f t="shared" si="6"/>
        <v>1280000</v>
      </c>
      <c r="F21" s="40">
        <f t="shared" si="6"/>
        <v>1200000</v>
      </c>
      <c r="G21" s="40">
        <f t="shared" si="6"/>
        <v>1110000</v>
      </c>
      <c r="H21" s="40">
        <f t="shared" si="6"/>
        <v>910000</v>
      </c>
      <c r="I21" s="40">
        <f t="shared" si="6"/>
        <v>910000</v>
      </c>
      <c r="J21" s="40">
        <f t="shared" si="6"/>
        <v>900000</v>
      </c>
      <c r="K21" s="40">
        <f t="shared" si="6"/>
        <v>880000</v>
      </c>
      <c r="L21" s="40">
        <f t="shared" si="6"/>
        <v>850000</v>
      </c>
      <c r="M21" s="40">
        <f t="shared" si="6"/>
        <v>810000</v>
      </c>
      <c r="N21" s="113">
        <f t="shared" si="6"/>
        <v>760000</v>
      </c>
      <c r="O21" s="120">
        <f>N21</f>
        <v>760000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8E10-1A59-40EA-B5EC-EF8D8D45C5BB}">
  <sheetPr>
    <tabColor theme="4" tint="0.79998168889431442"/>
  </sheetPr>
  <dimension ref="B2:F14"/>
  <sheetViews>
    <sheetView showGridLines="0" zoomScale="115" zoomScaleNormal="115" workbookViewId="0">
      <selection activeCell="D18" sqref="D18"/>
    </sheetView>
  </sheetViews>
  <sheetFormatPr defaultRowHeight="14.4" x14ac:dyDescent="0.3"/>
  <cols>
    <col min="1" max="1" width="1.77734375" customWidth="1"/>
    <col min="2" max="2" width="24" customWidth="1"/>
    <col min="3" max="6" width="14.77734375" style="2" customWidth="1"/>
  </cols>
  <sheetData>
    <row r="2" spans="2:6" s="1" customFormat="1" x14ac:dyDescent="0.3">
      <c r="B2" s="16" t="s">
        <v>42</v>
      </c>
      <c r="C2" s="4" t="s">
        <v>40</v>
      </c>
      <c r="D2" s="4" t="s">
        <v>41</v>
      </c>
      <c r="E2" s="4" t="s">
        <v>32</v>
      </c>
      <c r="F2" s="4" t="s">
        <v>63</v>
      </c>
    </row>
    <row r="3" spans="2:6" s="1" customFormat="1" x14ac:dyDescent="0.3">
      <c r="B3" s="43" t="s">
        <v>5</v>
      </c>
      <c r="C3" s="45">
        <f>'Revenue MIS'!C34</f>
        <v>6171250</v>
      </c>
      <c r="D3" s="45">
        <f>'P&amp;L'!O3</f>
        <v>6450000</v>
      </c>
      <c r="E3" s="45">
        <f>D3-C3</f>
        <v>278750</v>
      </c>
      <c r="F3" s="54">
        <f>E3/C3</f>
        <v>4.5169131051245696E-2</v>
      </c>
    </row>
    <row r="4" spans="2:6" x14ac:dyDescent="0.3">
      <c r="B4" s="23" t="s">
        <v>64</v>
      </c>
      <c r="C4" s="13">
        <f>-SUM('Expense MIS'!C25:C40)</f>
        <v>-1438186.3971070638</v>
      </c>
      <c r="D4" s="45">
        <f>'P&amp;L'!O8</f>
        <v>-600106.55418855895</v>
      </c>
      <c r="E4" s="13">
        <f t="shared" ref="E4:E14" si="0">D4-C4</f>
        <v>838079.84291850484</v>
      </c>
      <c r="F4" s="14">
        <f t="shared" ref="F4:F14" si="1">E4/C4</f>
        <v>-0.58273381294964033</v>
      </c>
    </row>
    <row r="5" spans="2:6" s="1" customFormat="1" x14ac:dyDescent="0.3">
      <c r="B5" s="25" t="s">
        <v>6</v>
      </c>
      <c r="C5" s="48">
        <f>SUM(C3:C4)</f>
        <v>4733063.6028929362</v>
      </c>
      <c r="D5" s="48">
        <f>SUM(D3:D4)</f>
        <v>5849893.4458114412</v>
      </c>
      <c r="E5" s="48">
        <f t="shared" si="0"/>
        <v>1116829.842918505</v>
      </c>
      <c r="F5" s="55">
        <f t="shared" si="1"/>
        <v>0.23596341326067916</v>
      </c>
    </row>
    <row r="6" spans="2:6" s="1" customFormat="1" x14ac:dyDescent="0.3">
      <c r="B6" s="46"/>
      <c r="C6" s="47"/>
      <c r="D6" s="47"/>
      <c r="E6" s="47"/>
      <c r="F6" s="56"/>
    </row>
    <row r="7" spans="2:6" x14ac:dyDescent="0.3">
      <c r="B7" s="10" t="s">
        <v>65</v>
      </c>
      <c r="C7" s="9">
        <f>-SUM('Expense MIS'!C37:C38)</f>
        <v>-68287.987200767064</v>
      </c>
      <c r="D7" s="9">
        <f>'P&amp;L'!O12</f>
        <v>-75875.541334185618</v>
      </c>
      <c r="E7" s="9">
        <f t="shared" si="0"/>
        <v>-7587.5541334185546</v>
      </c>
      <c r="F7" s="8">
        <f t="shared" si="1"/>
        <v>0.11111111111111099</v>
      </c>
    </row>
    <row r="8" spans="2:6" x14ac:dyDescent="0.3">
      <c r="B8" s="23" t="s">
        <v>66</v>
      </c>
      <c r="C8" s="13">
        <f>-'Expense MIS'!C39</f>
        <v>-124159.97672866737</v>
      </c>
      <c r="D8" s="9">
        <f>'P&amp;L'!O13</f>
        <v>-137955.5296985193</v>
      </c>
      <c r="E8" s="13">
        <f t="shared" si="0"/>
        <v>-13795.552969851924</v>
      </c>
      <c r="F8" s="14">
        <f t="shared" si="1"/>
        <v>0.11111111111111106</v>
      </c>
    </row>
    <row r="9" spans="2:6" s="1" customFormat="1" x14ac:dyDescent="0.3">
      <c r="B9" s="25" t="s">
        <v>67</v>
      </c>
      <c r="C9" s="48">
        <f>SUM(C5:C8)</f>
        <v>4540615.6389635019</v>
      </c>
      <c r="D9" s="48">
        <f>SUM(D5:D8)</f>
        <v>5636062.3747787364</v>
      </c>
      <c r="E9" s="48">
        <f t="shared" si="0"/>
        <v>1095446.7358152345</v>
      </c>
      <c r="F9" s="55">
        <f t="shared" si="1"/>
        <v>0.24125511228369353</v>
      </c>
    </row>
    <row r="10" spans="2:6" s="1" customFormat="1" x14ac:dyDescent="0.3">
      <c r="B10" s="51"/>
      <c r="C10" s="52"/>
      <c r="D10" s="52"/>
      <c r="E10" s="52"/>
      <c r="F10" s="57"/>
    </row>
    <row r="11" spans="2:6" x14ac:dyDescent="0.3">
      <c r="B11" s="23" t="s">
        <v>68</v>
      </c>
      <c r="C11" s="13">
        <f>-'Expense MIS'!C41</f>
        <v>-1438186.3971070638</v>
      </c>
      <c r="D11" s="13">
        <f>'P&amp;L'!O16</f>
        <v>-137955.5296985193</v>
      </c>
      <c r="E11" s="13">
        <f t="shared" si="0"/>
        <v>1300230.8674085445</v>
      </c>
      <c r="F11" s="14">
        <f t="shared" si="1"/>
        <v>-0.90407673860911275</v>
      </c>
    </row>
    <row r="12" spans="2:6" s="1" customFormat="1" ht="15" thickBot="1" x14ac:dyDescent="0.35">
      <c r="B12" s="49" t="s">
        <v>7</v>
      </c>
      <c r="C12" s="50">
        <f>SUM(C9:C11)</f>
        <v>3102429.2418564381</v>
      </c>
      <c r="D12" s="50">
        <f>SUM(D9:D11)</f>
        <v>5498106.8450802173</v>
      </c>
      <c r="E12" s="50">
        <f t="shared" si="0"/>
        <v>2395677.6032237792</v>
      </c>
      <c r="F12" s="58">
        <f t="shared" si="1"/>
        <v>0.7721941151477314</v>
      </c>
    </row>
    <row r="13" spans="2:6" s="1" customFormat="1" x14ac:dyDescent="0.3">
      <c r="B13" s="51"/>
      <c r="C13" s="52"/>
      <c r="D13" s="52"/>
      <c r="E13" s="52"/>
      <c r="F13" s="57"/>
    </row>
    <row r="14" spans="2:6" s="1" customFormat="1" x14ac:dyDescent="0.3">
      <c r="B14" s="43" t="s">
        <v>69</v>
      </c>
      <c r="C14" s="60">
        <v>600000</v>
      </c>
      <c r="D14" s="45">
        <f>CFS!O21</f>
        <v>760000</v>
      </c>
      <c r="E14" s="45">
        <f t="shared" si="0"/>
        <v>160000</v>
      </c>
      <c r="F14" s="54">
        <f t="shared" si="1"/>
        <v>0.26666666666666666</v>
      </c>
    </row>
  </sheetData>
  <pageMargins left="0.7" right="0.7" top="0.75" bottom="0.75" header="0.3" footer="0.3"/>
  <pageSetup orientation="portrait" r:id="rId1"/>
  <ignoredErrors>
    <ignoredError sqref="C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79CE-821D-4953-AA25-312577E9C880}">
  <sheetPr>
    <tabColor theme="4" tint="0.79998168889431442"/>
  </sheetPr>
  <dimension ref="B1:H33"/>
  <sheetViews>
    <sheetView showGridLines="0" workbookViewId="0">
      <selection activeCell="H26" sqref="H26"/>
    </sheetView>
  </sheetViews>
  <sheetFormatPr defaultRowHeight="14.4" x14ac:dyDescent="0.3"/>
  <cols>
    <col min="1" max="1" width="1.77734375" customWidth="1"/>
    <col min="2" max="2" width="26.5546875" style="61" bestFit="1" customWidth="1"/>
    <col min="3" max="3" width="20.88671875" style="2" customWidth="1"/>
    <col min="4" max="4" width="16.77734375" style="2" customWidth="1"/>
    <col min="7" max="7" width="26.33203125" customWidth="1"/>
    <col min="8" max="8" width="16.77734375" customWidth="1"/>
  </cols>
  <sheetData>
    <row r="1" spans="2:8" x14ac:dyDescent="0.3">
      <c r="B1"/>
      <c r="C1"/>
      <c r="D1"/>
    </row>
    <row r="2" spans="2:8" ht="18" x14ac:dyDescent="0.35">
      <c r="B2" s="75" t="s">
        <v>80</v>
      </c>
      <c r="C2"/>
      <c r="D2"/>
    </row>
    <row r="3" spans="2:8" x14ac:dyDescent="0.3">
      <c r="B3"/>
      <c r="C3"/>
      <c r="D3"/>
    </row>
    <row r="4" spans="2:8" x14ac:dyDescent="0.3">
      <c r="B4" s="74" t="s">
        <v>81</v>
      </c>
      <c r="C4" s="74" t="s">
        <v>82</v>
      </c>
      <c r="D4" s="74" t="s">
        <v>83</v>
      </c>
    </row>
    <row r="5" spans="2:8" x14ac:dyDescent="0.3">
      <c r="B5" s="68" t="s">
        <v>206</v>
      </c>
      <c r="C5" s="7">
        <v>10000</v>
      </c>
      <c r="D5" s="68" t="s">
        <v>209</v>
      </c>
    </row>
    <row r="6" spans="2:8" x14ac:dyDescent="0.3">
      <c r="B6" s="68" t="s">
        <v>207</v>
      </c>
      <c r="C6" s="7">
        <v>20000</v>
      </c>
      <c r="D6" s="68" t="s">
        <v>210</v>
      </c>
    </row>
    <row r="7" spans="2:8" x14ac:dyDescent="0.3">
      <c r="B7" s="68" t="s">
        <v>208</v>
      </c>
      <c r="C7" s="7">
        <v>30000</v>
      </c>
      <c r="D7" s="68" t="s">
        <v>211</v>
      </c>
    </row>
    <row r="8" spans="2:8" x14ac:dyDescent="0.3">
      <c r="B8" s="68"/>
      <c r="C8" s="7"/>
      <c r="D8" s="68"/>
    </row>
    <row r="9" spans="2:8" x14ac:dyDescent="0.3">
      <c r="B9" s="68"/>
      <c r="C9" s="7"/>
      <c r="D9" s="68"/>
    </row>
    <row r="10" spans="2:8" x14ac:dyDescent="0.3">
      <c r="B10" s="68"/>
      <c r="C10" s="7"/>
      <c r="D10" s="68"/>
    </row>
    <row r="11" spans="2:8" x14ac:dyDescent="0.3">
      <c r="B11" s="68"/>
      <c r="C11" s="7"/>
      <c r="D11" s="68"/>
    </row>
    <row r="12" spans="2:8" x14ac:dyDescent="0.3">
      <c r="B12" s="68"/>
      <c r="C12" s="7"/>
      <c r="D12" s="68"/>
    </row>
    <row r="13" spans="2:8" x14ac:dyDescent="0.3">
      <c r="B13" s="68"/>
      <c r="C13" s="7"/>
      <c r="D13" s="68"/>
    </row>
    <row r="14" spans="2:8" x14ac:dyDescent="0.3">
      <c r="B14" s="76"/>
      <c r="C14" s="12"/>
      <c r="D14" s="76"/>
    </row>
    <row r="15" spans="2:8" ht="18.600000000000001" thickBot="1" x14ac:dyDescent="0.4">
      <c r="B15" s="53" t="s">
        <v>29</v>
      </c>
      <c r="C15" s="18">
        <f>SUM(C5:C14)</f>
        <v>60000</v>
      </c>
      <c r="D15" s="53"/>
      <c r="G15" s="159" t="s">
        <v>86</v>
      </c>
      <c r="H15" s="159"/>
    </row>
    <row r="17" spans="2:8" x14ac:dyDescent="0.3">
      <c r="G17" s="73" t="s">
        <v>42</v>
      </c>
      <c r="H17" s="74" t="s">
        <v>87</v>
      </c>
    </row>
    <row r="18" spans="2:8" ht="18" x14ac:dyDescent="0.35">
      <c r="B18" s="75" t="s">
        <v>84</v>
      </c>
      <c r="C18"/>
      <c r="D18"/>
      <c r="G18" s="69" t="s">
        <v>88</v>
      </c>
      <c r="H18" s="77">
        <f>C15</f>
        <v>60000</v>
      </c>
    </row>
    <row r="19" spans="2:8" x14ac:dyDescent="0.3">
      <c r="B19"/>
      <c r="C19"/>
      <c r="D19"/>
      <c r="G19" s="78" t="s">
        <v>89</v>
      </c>
      <c r="H19" s="79">
        <f>C31</f>
        <v>30000</v>
      </c>
    </row>
    <row r="20" spans="2:8" ht="15" thickBot="1" x14ac:dyDescent="0.35">
      <c r="B20" s="74" t="s">
        <v>85</v>
      </c>
      <c r="C20" s="74" t="s">
        <v>82</v>
      </c>
      <c r="D20" s="74" t="s">
        <v>83</v>
      </c>
      <c r="G20" s="80" t="s">
        <v>90</v>
      </c>
      <c r="H20" s="81">
        <f>H18-H19</f>
        <v>30000</v>
      </c>
    </row>
    <row r="21" spans="2:8" x14ac:dyDescent="0.3">
      <c r="B21" s="68" t="s">
        <v>212</v>
      </c>
      <c r="C21" s="7">
        <v>5000</v>
      </c>
      <c r="D21" s="68" t="s">
        <v>209</v>
      </c>
    </row>
    <row r="22" spans="2:8" x14ac:dyDescent="0.3">
      <c r="B22" s="68" t="s">
        <v>213</v>
      </c>
      <c r="C22" s="7">
        <v>10000</v>
      </c>
      <c r="D22" s="68" t="s">
        <v>215</v>
      </c>
    </row>
    <row r="23" spans="2:8" x14ac:dyDescent="0.3">
      <c r="B23" s="68" t="s">
        <v>214</v>
      </c>
      <c r="C23" s="7">
        <v>15000</v>
      </c>
      <c r="D23" s="68" t="s">
        <v>216</v>
      </c>
    </row>
    <row r="24" spans="2:8" x14ac:dyDescent="0.3">
      <c r="B24" s="68"/>
      <c r="C24" s="7"/>
      <c r="D24" s="68"/>
    </row>
    <row r="25" spans="2:8" x14ac:dyDescent="0.3">
      <c r="B25" s="68"/>
      <c r="C25" s="7"/>
      <c r="D25" s="68"/>
    </row>
    <row r="26" spans="2:8" x14ac:dyDescent="0.3">
      <c r="B26" s="68"/>
      <c r="C26" s="7"/>
      <c r="D26" s="68"/>
    </row>
    <row r="27" spans="2:8" x14ac:dyDescent="0.3">
      <c r="B27" s="68"/>
      <c r="C27" s="7"/>
      <c r="D27" s="68"/>
    </row>
    <row r="28" spans="2:8" x14ac:dyDescent="0.3">
      <c r="B28" s="68"/>
      <c r="C28" s="7"/>
      <c r="D28" s="68"/>
    </row>
    <row r="29" spans="2:8" x14ac:dyDescent="0.3">
      <c r="B29" s="68"/>
      <c r="C29" s="7"/>
      <c r="D29" s="68"/>
    </row>
    <row r="30" spans="2:8" x14ac:dyDescent="0.3">
      <c r="B30" s="68"/>
      <c r="C30" s="7"/>
      <c r="D30" s="68"/>
    </row>
    <row r="31" spans="2:8" ht="15" thickBot="1" x14ac:dyDescent="0.35">
      <c r="B31" s="53" t="s">
        <v>29</v>
      </c>
      <c r="C31" s="18">
        <f>SUM(C21:C30)</f>
        <v>30000</v>
      </c>
      <c r="D31" s="53"/>
    </row>
    <row r="33" spans="2:2" ht="18" x14ac:dyDescent="0.35">
      <c r="B33" s="75"/>
    </row>
  </sheetData>
  <mergeCells count="1">
    <mergeCell ref="G15:H15"/>
  </mergeCells>
  <conditionalFormatting sqref="D5:D14 D21:D30">
    <cfRule type="containsText" dxfId="4" priority="5" operator="containsText" text="Outstanding">
      <formula>NOT(ISERROR(SEARCH("Outstanding",D5)))</formula>
    </cfRule>
  </conditionalFormatting>
  <conditionalFormatting sqref="D5:D14">
    <cfRule type="containsText" dxfId="3" priority="2" operator="containsText" text="Received">
      <formula>NOT(ISERROR(SEARCH("Received",D5)))</formula>
    </cfRule>
    <cfRule type="containsText" dxfId="2" priority="4" operator="containsText" text="Partially Received">
      <formula>NOT(ISERROR(SEARCH("Partially Received",D5)))</formula>
    </cfRule>
  </conditionalFormatting>
  <conditionalFormatting sqref="D21:D30">
    <cfRule type="containsText" dxfId="1" priority="1" operator="containsText" text="Paid">
      <formula>NOT(ISERROR(SEARCH("Paid",D21)))</formula>
    </cfRule>
    <cfRule type="containsText" dxfId="0" priority="3" operator="containsText" text="Partially Paid">
      <formula>NOT(ISERROR(SEARCH("Partially Paid",D21)))</formula>
    </cfRule>
  </conditionalFormatting>
  <dataValidations count="2">
    <dataValidation type="list" allowBlank="1" showInputMessage="1" showErrorMessage="1" sqref="D21:D30" xr:uid="{8865B145-1916-43AF-AA52-9DC2CDADDC21}">
      <formula1>"Outstanding,Partially Paid,Paid"</formula1>
    </dataValidation>
    <dataValidation type="list" allowBlank="1" showInputMessage="1" showErrorMessage="1" sqref="D5:D14" xr:uid="{2B72E198-529C-40B4-9EDD-1EFEAF782D33}">
      <formula1>"Outstanding,Partially Received,Received"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355B-E606-4B32-8478-B6A7FEEA01F3}">
  <sheetPr>
    <tabColor theme="4" tint="0.79998168889431442"/>
  </sheetPr>
  <dimension ref="B2:C16"/>
  <sheetViews>
    <sheetView showGridLines="0" zoomScale="130" zoomScaleNormal="130" workbookViewId="0">
      <selection activeCell="F15" sqref="F15"/>
    </sheetView>
  </sheetViews>
  <sheetFormatPr defaultRowHeight="14.4" x14ac:dyDescent="0.3"/>
  <cols>
    <col min="1" max="1" width="1.77734375" customWidth="1"/>
    <col min="2" max="2" width="24.33203125" style="61" customWidth="1"/>
    <col min="3" max="3" width="16.77734375" style="2" customWidth="1"/>
  </cols>
  <sheetData>
    <row r="2" spans="2:3" x14ac:dyDescent="0.3">
      <c r="B2" s="73" t="s">
        <v>42</v>
      </c>
      <c r="C2" s="74" t="s">
        <v>87</v>
      </c>
    </row>
    <row r="3" spans="2:3" x14ac:dyDescent="0.3">
      <c r="B3" s="69" t="s">
        <v>91</v>
      </c>
      <c r="C3" s="77">
        <f>CFS!O21</f>
        <v>760000</v>
      </c>
    </row>
    <row r="4" spans="2:3" x14ac:dyDescent="0.3">
      <c r="B4" s="69" t="s">
        <v>92</v>
      </c>
      <c r="C4" s="77">
        <f>'Receivables &amp; Payables Tracker'!H18</f>
        <v>60000</v>
      </c>
    </row>
    <row r="5" spans="2:3" x14ac:dyDescent="0.3">
      <c r="B5" s="69" t="s">
        <v>93</v>
      </c>
      <c r="C5" s="89">
        <v>100000</v>
      </c>
    </row>
    <row r="6" spans="2:3" x14ac:dyDescent="0.3">
      <c r="B6" s="78" t="s">
        <v>94</v>
      </c>
      <c r="C6" s="90">
        <v>50000</v>
      </c>
    </row>
    <row r="7" spans="2:3" s="1" customFormat="1" x14ac:dyDescent="0.3">
      <c r="B7" s="83" t="s">
        <v>95</v>
      </c>
      <c r="C7" s="86">
        <f>SUM(C3:C6)</f>
        <v>970000</v>
      </c>
    </row>
    <row r="8" spans="2:3" x14ac:dyDescent="0.3">
      <c r="B8" s="82"/>
      <c r="C8" s="87"/>
    </row>
    <row r="9" spans="2:3" x14ac:dyDescent="0.3">
      <c r="B9" s="69" t="s">
        <v>96</v>
      </c>
      <c r="C9" s="77">
        <f>'Receivables &amp; Payables Tracker'!H19</f>
        <v>30000</v>
      </c>
    </row>
    <row r="10" spans="2:3" x14ac:dyDescent="0.3">
      <c r="B10" s="69" t="s">
        <v>97</v>
      </c>
      <c r="C10" s="89">
        <v>300000</v>
      </c>
    </row>
    <row r="11" spans="2:3" x14ac:dyDescent="0.3">
      <c r="B11" s="78" t="s">
        <v>98</v>
      </c>
      <c r="C11" s="90">
        <v>150000</v>
      </c>
    </row>
    <row r="12" spans="2:3" s="1" customFormat="1" x14ac:dyDescent="0.3">
      <c r="B12" s="83" t="s">
        <v>99</v>
      </c>
      <c r="C12" s="86">
        <f>SUM(C9:C11)</f>
        <v>480000</v>
      </c>
    </row>
    <row r="13" spans="2:3" x14ac:dyDescent="0.3">
      <c r="B13" s="82"/>
      <c r="C13" s="87"/>
    </row>
    <row r="14" spans="2:3" x14ac:dyDescent="0.3">
      <c r="B14" s="84" t="s">
        <v>100</v>
      </c>
      <c r="C14" s="88">
        <f>C7-C12</f>
        <v>490000</v>
      </c>
    </row>
    <row r="15" spans="2:3" x14ac:dyDescent="0.3">
      <c r="B15" s="84" t="s">
        <v>12</v>
      </c>
      <c r="C15" s="85">
        <f>C7/C12</f>
        <v>2.0208333333333335</v>
      </c>
    </row>
    <row r="16" spans="2:3" x14ac:dyDescent="0.3">
      <c r="B16" s="84" t="s">
        <v>78</v>
      </c>
      <c r="C16" s="85">
        <f>(C7-C5)/C12</f>
        <v>1.8125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FE5-F377-483D-BA16-F99A56263490}">
  <sheetPr>
    <tabColor theme="4" tint="0.79998168889431442"/>
  </sheetPr>
  <dimension ref="B2:C27"/>
  <sheetViews>
    <sheetView showGridLines="0" zoomScale="130" zoomScaleNormal="130" workbookViewId="0">
      <selection activeCell="C23" sqref="C23"/>
    </sheetView>
  </sheetViews>
  <sheetFormatPr defaultRowHeight="14.4" x14ac:dyDescent="0.3"/>
  <cols>
    <col min="1" max="1" width="1.77734375" customWidth="1"/>
    <col min="2" max="2" width="30" style="61" bestFit="1" customWidth="1"/>
    <col min="3" max="3" width="15.77734375" style="2" customWidth="1"/>
  </cols>
  <sheetData>
    <row r="2" spans="2:3" ht="18" x14ac:dyDescent="0.35">
      <c r="B2" s="75" t="s">
        <v>164</v>
      </c>
    </row>
    <row r="4" spans="2:3" x14ac:dyDescent="0.3">
      <c r="B4" s="73" t="s">
        <v>70</v>
      </c>
      <c r="C4" s="74" t="s">
        <v>71</v>
      </c>
    </row>
    <row r="5" spans="2:3" x14ac:dyDescent="0.3">
      <c r="B5" s="67" t="s">
        <v>72</v>
      </c>
      <c r="C5" s="6"/>
    </row>
    <row r="6" spans="2:3" x14ac:dyDescent="0.3">
      <c r="B6" s="69" t="s">
        <v>73</v>
      </c>
      <c r="C6" s="8">
        <f>'P&amp;L'!O3/'Revenue MIS'!C2-1</f>
        <v>0.29000000000000004</v>
      </c>
    </row>
    <row r="7" spans="2:3" x14ac:dyDescent="0.3">
      <c r="B7" s="69" t="s">
        <v>202</v>
      </c>
      <c r="C7" s="8">
        <f>'P&amp;L'!O6</f>
        <v>0.84600312963886215</v>
      </c>
    </row>
    <row r="8" spans="2:3" x14ac:dyDescent="0.3">
      <c r="B8" s="69" t="s">
        <v>10</v>
      </c>
      <c r="C8" s="70">
        <f>'P&amp;L'!O10</f>
        <v>0.75296335379567492</v>
      </c>
    </row>
    <row r="9" spans="2:3" x14ac:dyDescent="0.3">
      <c r="B9" s="69" t="s">
        <v>74</v>
      </c>
      <c r="C9" s="70">
        <f>'P&amp;L'!O18</f>
        <v>0.69842279554277165</v>
      </c>
    </row>
    <row r="10" spans="2:3" x14ac:dyDescent="0.3">
      <c r="B10" s="69" t="s">
        <v>75</v>
      </c>
      <c r="C10" s="8">
        <f>-('P&amp;L'!O8/'P&amp;L'!O3)</f>
        <v>9.3039775843187428E-2</v>
      </c>
    </row>
    <row r="11" spans="2:3" x14ac:dyDescent="0.3">
      <c r="B11" s="69" t="s">
        <v>8</v>
      </c>
      <c r="C11" s="9">
        <f>CFS!O21</f>
        <v>760000</v>
      </c>
    </row>
    <row r="12" spans="2:3" x14ac:dyDescent="0.3">
      <c r="B12" s="69" t="s">
        <v>9</v>
      </c>
      <c r="C12" s="9">
        <f>ABS(CFS!O7)/12</f>
        <v>5000</v>
      </c>
    </row>
    <row r="13" spans="2:3" x14ac:dyDescent="0.3">
      <c r="B13" s="69" t="s">
        <v>76</v>
      </c>
      <c r="C13" s="71">
        <f>CFS!O21/'KPI &amp; Ratio Analysis'!C12</f>
        <v>152</v>
      </c>
    </row>
    <row r="14" spans="2:3" x14ac:dyDescent="0.3">
      <c r="B14" s="72"/>
      <c r="C14" s="6"/>
    </row>
    <row r="15" spans="2:3" s="1" customFormat="1" x14ac:dyDescent="0.3">
      <c r="B15" s="67" t="s">
        <v>77</v>
      </c>
      <c r="C15" s="44"/>
    </row>
    <row r="16" spans="2:3" x14ac:dyDescent="0.3">
      <c r="B16" s="69" t="s">
        <v>12</v>
      </c>
      <c r="C16" s="146">
        <f>'Working Capital Inputs'!C15</f>
        <v>2.0208333333333335</v>
      </c>
    </row>
    <row r="17" spans="2:3" x14ac:dyDescent="0.3">
      <c r="B17" s="69" t="s">
        <v>78</v>
      </c>
      <c r="C17" s="146">
        <f>'Working Capital Inputs'!C16</f>
        <v>1.8125</v>
      </c>
    </row>
    <row r="20" spans="2:3" ht="18" x14ac:dyDescent="0.35">
      <c r="B20" s="75" t="s">
        <v>165</v>
      </c>
    </row>
    <row r="22" spans="2:3" x14ac:dyDescent="0.3">
      <c r="B22" s="137" t="s">
        <v>42</v>
      </c>
      <c r="C22" s="4" t="s">
        <v>71</v>
      </c>
    </row>
    <row r="23" spans="2:3" x14ac:dyDescent="0.3">
      <c r="B23" s="72" t="s">
        <v>183</v>
      </c>
      <c r="C23" s="9">
        <f>'Manufacturing Metrics'!C3</f>
        <v>100000</v>
      </c>
    </row>
    <row r="24" spans="2:3" x14ac:dyDescent="0.3">
      <c r="B24" s="72" t="s">
        <v>187</v>
      </c>
      <c r="C24" s="8">
        <f>'Manufacturing Metrics'!C10</f>
        <v>0.83333333333333337</v>
      </c>
    </row>
    <row r="25" spans="2:3" x14ac:dyDescent="0.3">
      <c r="B25" s="72" t="s">
        <v>188</v>
      </c>
      <c r="C25" s="147">
        <f>'Manufacturing Metrics'!C11</f>
        <v>70.108695652173907</v>
      </c>
    </row>
    <row r="26" spans="2:3" x14ac:dyDescent="0.3">
      <c r="B26" s="72" t="s">
        <v>189</v>
      </c>
      <c r="C26" s="8">
        <f>'Manufacturing Metrics'!C12</f>
        <v>2.5000000000000001E-2</v>
      </c>
    </row>
    <row r="27" spans="2:3" x14ac:dyDescent="0.3">
      <c r="B27" s="72" t="s">
        <v>190</v>
      </c>
      <c r="C27" s="8">
        <f>'Manufacturing Metrics'!C13</f>
        <v>0.92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Dashboard</vt:lpstr>
      <vt:lpstr>Revenue MIS</vt:lpstr>
      <vt:lpstr>Expense MIS</vt:lpstr>
      <vt:lpstr>Manufacturing Metrics</vt:lpstr>
      <vt:lpstr>P&amp;L</vt:lpstr>
      <vt:lpstr>CFS</vt:lpstr>
      <vt:lpstr>Budget vs Actual</vt:lpstr>
      <vt:lpstr>Receivables &amp; Payables Tracker</vt:lpstr>
      <vt:lpstr>Working Capital Inputs</vt:lpstr>
      <vt:lpstr>KPI &amp; Ratio Analysis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2026-06-23T18:18:13Z</dcterms:modified>
</cp:coreProperties>
</file>