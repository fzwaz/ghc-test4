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ifa\OneDrive\Documents\My Docs\GHC Growth Lab\Research &amp; Additional Docs\Community Engagement\Templates\Startup MIS Templates\With GHC Watermark\"/>
    </mc:Choice>
  </mc:AlternateContent>
  <xr:revisionPtr revIDLastSave="0" documentId="13_ncr:1_{E69D46F9-2D59-4FE1-BAC4-C4EA6D9C787E}" xr6:coauthVersionLast="47" xr6:coauthVersionMax="47" xr10:uidLastSave="{00000000-0000-0000-0000-000000000000}"/>
  <bookViews>
    <workbookView xWindow="-108" yWindow="-108" windowWidth="23256" windowHeight="13896" tabRatio="897" xr2:uid="{00000000-000D-0000-FFFF-FFFF00000000}"/>
  </bookViews>
  <sheets>
    <sheet name="Instructions" sheetId="10" r:id="rId1"/>
    <sheet name="Dashboard" sheetId="1" r:id="rId2"/>
    <sheet name="Revenue MIS" sheetId="2" r:id="rId3"/>
    <sheet name="Expense MIS" sheetId="3" r:id="rId4"/>
    <sheet name="D2C Metrics" sheetId="12" r:id="rId5"/>
    <sheet name="P&amp;L" sheetId="4" r:id="rId6"/>
    <sheet name="CFS" sheetId="5" r:id="rId7"/>
    <sheet name="Budget vs Actual" sheetId="6" r:id="rId8"/>
    <sheet name="Receivables &amp; Payables Tracker" sheetId="8" r:id="rId9"/>
    <sheet name="Working Capital Inputs" sheetId="9" r:id="rId10"/>
    <sheet name="KPI &amp; Ratio Analysis" sheetId="7" r:id="rId11"/>
  </sheets>
  <definedNames>
    <definedName name="_xlnm.Print_Area" localSheetId="0">Instructions!$A$1:$AB$118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5" l="1"/>
  <c r="F3" i="5" s="1"/>
  <c r="G3" i="5" s="1"/>
  <c r="H3" i="5" s="1"/>
  <c r="I3" i="5" s="1"/>
  <c r="J3" i="5" s="1"/>
  <c r="K3" i="5" s="1"/>
  <c r="L3" i="5" s="1"/>
  <c r="M3" i="5" s="1"/>
  <c r="N3" i="5" s="1"/>
  <c r="E4" i="5"/>
  <c r="F4" i="5"/>
  <c r="G4" i="5" s="1"/>
  <c r="H4" i="5" s="1"/>
  <c r="I4" i="5" s="1"/>
  <c r="J4" i="5" s="1"/>
  <c r="K4" i="5" s="1"/>
  <c r="L4" i="5" s="1"/>
  <c r="M4" i="5" s="1"/>
  <c r="N4" i="5" s="1"/>
  <c r="E5" i="5"/>
  <c r="F5" i="5" s="1"/>
  <c r="G5" i="5" s="1"/>
  <c r="H5" i="5" s="1"/>
  <c r="I5" i="5" s="1"/>
  <c r="J5" i="5" s="1"/>
  <c r="K5" i="5" s="1"/>
  <c r="L5" i="5" s="1"/>
  <c r="M5" i="5" s="1"/>
  <c r="N5" i="5" s="1"/>
  <c r="E6" i="5"/>
  <c r="F6" i="5" s="1"/>
  <c r="G6" i="5" s="1"/>
  <c r="H6" i="5" s="1"/>
  <c r="I6" i="5" s="1"/>
  <c r="J6" i="5" s="1"/>
  <c r="K6" i="5" s="1"/>
  <c r="L6" i="5" s="1"/>
  <c r="M6" i="5" s="1"/>
  <c r="N6" i="5" s="1"/>
  <c r="D5" i="5"/>
  <c r="D6" i="5"/>
  <c r="D4" i="5"/>
  <c r="D3" i="5"/>
  <c r="C6" i="12"/>
  <c r="C22" i="7"/>
  <c r="H13" i="1" l="1"/>
  <c r="C12" i="12" l="1"/>
  <c r="C25" i="7" s="1"/>
  <c r="O5" i="3" l="1"/>
  <c r="D27" i="3" s="1"/>
  <c r="E27" i="3" s="1"/>
  <c r="F27" i="3" s="1"/>
  <c r="O6" i="3"/>
  <c r="D28" i="3" s="1"/>
  <c r="E28" i="3" s="1"/>
  <c r="F28" i="3" s="1"/>
  <c r="D18" i="2" l="1"/>
  <c r="E18" i="2"/>
  <c r="F18" i="2"/>
  <c r="G18" i="2"/>
  <c r="C18" i="2"/>
  <c r="O4" i="3" l="1"/>
  <c r="D26" i="3" s="1"/>
  <c r="E26" i="3" s="1"/>
  <c r="F26" i="3" s="1"/>
  <c r="C31" i="8" l="1"/>
  <c r="H19" i="8" s="1"/>
  <c r="C9" i="9" s="1"/>
  <c r="C12" i="9" s="1"/>
  <c r="C15" i="8"/>
  <c r="H18" i="8" s="1"/>
  <c r="C43" i="3"/>
  <c r="C11" i="6" s="1"/>
  <c r="C8" i="6"/>
  <c r="C7" i="6"/>
  <c r="C4" i="6"/>
  <c r="C34" i="2"/>
  <c r="C3" i="6" s="1"/>
  <c r="O19" i="5"/>
  <c r="D17" i="5"/>
  <c r="E17" i="5"/>
  <c r="F17" i="5"/>
  <c r="G17" i="5"/>
  <c r="H17" i="5"/>
  <c r="I17" i="5"/>
  <c r="J17" i="5"/>
  <c r="K17" i="5"/>
  <c r="L17" i="5"/>
  <c r="M17" i="5"/>
  <c r="N17" i="5"/>
  <c r="C17" i="5"/>
  <c r="D11" i="5"/>
  <c r="E11" i="5"/>
  <c r="F11" i="5"/>
  <c r="G11" i="5"/>
  <c r="H11" i="5"/>
  <c r="I11" i="5"/>
  <c r="J11" i="5"/>
  <c r="K11" i="5"/>
  <c r="L11" i="5"/>
  <c r="M11" i="5"/>
  <c r="N11" i="5"/>
  <c r="C11" i="5"/>
  <c r="O16" i="5"/>
  <c r="O15" i="5"/>
  <c r="O14" i="5"/>
  <c r="O13" i="5"/>
  <c r="O10" i="5"/>
  <c r="O9" i="5"/>
  <c r="O4" i="5"/>
  <c r="O5" i="5"/>
  <c r="O6" i="5"/>
  <c r="O3" i="5"/>
  <c r="D7" i="5"/>
  <c r="E7" i="5"/>
  <c r="F7" i="5"/>
  <c r="G7" i="5"/>
  <c r="H7" i="5"/>
  <c r="I7" i="5"/>
  <c r="J7" i="5"/>
  <c r="J20" i="5" s="1"/>
  <c r="K7" i="5"/>
  <c r="L7" i="5"/>
  <c r="M7" i="5"/>
  <c r="N7" i="5"/>
  <c r="C7" i="5"/>
  <c r="H20" i="8" l="1"/>
  <c r="C4" i="9"/>
  <c r="H20" i="5"/>
  <c r="G20" i="5"/>
  <c r="E20" i="5"/>
  <c r="F20" i="5"/>
  <c r="L20" i="5"/>
  <c r="D20" i="5"/>
  <c r="N20" i="5"/>
  <c r="K20" i="5"/>
  <c r="C20" i="5"/>
  <c r="C21" i="5" s="1"/>
  <c r="D19" i="5" s="1"/>
  <c r="M20" i="5"/>
  <c r="I20" i="5"/>
  <c r="O17" i="5"/>
  <c r="O7" i="5"/>
  <c r="C11" i="7" s="1"/>
  <c r="O11" i="5"/>
  <c r="C5" i="6"/>
  <c r="C9" i="6" s="1"/>
  <c r="D12" i="4"/>
  <c r="E12" i="4"/>
  <c r="F12" i="4"/>
  <c r="G12" i="4"/>
  <c r="H12" i="4"/>
  <c r="I12" i="4"/>
  <c r="J12" i="4"/>
  <c r="K12" i="4"/>
  <c r="L12" i="4"/>
  <c r="M12" i="4"/>
  <c r="N12" i="4"/>
  <c r="C12" i="4"/>
  <c r="D21" i="3"/>
  <c r="E21" i="3"/>
  <c r="F21" i="3"/>
  <c r="G21" i="3"/>
  <c r="H21" i="3"/>
  <c r="I21" i="3"/>
  <c r="J21" i="3"/>
  <c r="K21" i="3"/>
  <c r="L21" i="3"/>
  <c r="M21" i="3"/>
  <c r="N21" i="3"/>
  <c r="C21" i="3"/>
  <c r="O20" i="3"/>
  <c r="D42" i="3" s="1"/>
  <c r="E42" i="3" s="1"/>
  <c r="F42" i="3" s="1"/>
  <c r="D9" i="4"/>
  <c r="E9" i="4"/>
  <c r="F9" i="4"/>
  <c r="G9" i="4"/>
  <c r="H9" i="4"/>
  <c r="I9" i="4"/>
  <c r="J9" i="4"/>
  <c r="K9" i="4"/>
  <c r="L9" i="4"/>
  <c r="M9" i="4"/>
  <c r="N9" i="4"/>
  <c r="C9" i="4"/>
  <c r="N8" i="4"/>
  <c r="M8" i="4"/>
  <c r="L8" i="4"/>
  <c r="K8" i="4"/>
  <c r="J8" i="4"/>
  <c r="I8" i="4"/>
  <c r="H8" i="4"/>
  <c r="G8" i="4"/>
  <c r="F8" i="4"/>
  <c r="E8" i="4"/>
  <c r="D8" i="4"/>
  <c r="C8" i="4"/>
  <c r="H7" i="2"/>
  <c r="D21" i="5" l="1"/>
  <c r="E19" i="5" s="1"/>
  <c r="E21" i="5" s="1"/>
  <c r="F19" i="5" s="1"/>
  <c r="F21" i="5" s="1"/>
  <c r="G19" i="5" s="1"/>
  <c r="G21" i="5" s="1"/>
  <c r="H19" i="5" s="1"/>
  <c r="H21" i="5" s="1"/>
  <c r="I19" i="5" s="1"/>
  <c r="I21" i="5" s="1"/>
  <c r="J19" i="5" s="1"/>
  <c r="J21" i="5" s="1"/>
  <c r="K19" i="5" s="1"/>
  <c r="K21" i="5" s="1"/>
  <c r="L19" i="5" s="1"/>
  <c r="L21" i="5" s="1"/>
  <c r="M19" i="5" s="1"/>
  <c r="M21" i="5" s="1"/>
  <c r="N19" i="5" s="1"/>
  <c r="N21" i="5" s="1"/>
  <c r="O21" i="5" s="1"/>
  <c r="F16" i="1" s="1"/>
  <c r="O20" i="5"/>
  <c r="O21" i="3"/>
  <c r="C12" i="6"/>
  <c r="O8" i="4"/>
  <c r="D7" i="6" s="1"/>
  <c r="E7" i="6" s="1"/>
  <c r="F7" i="6" s="1"/>
  <c r="O12" i="4"/>
  <c r="D11" i="6" s="1"/>
  <c r="E11" i="6" s="1"/>
  <c r="F11" i="6" s="1"/>
  <c r="O9" i="4"/>
  <c r="D8" i="6" s="1"/>
  <c r="E8" i="6" s="1"/>
  <c r="F8" i="6" s="1"/>
  <c r="D4" i="4"/>
  <c r="E4" i="4"/>
  <c r="F4" i="4"/>
  <c r="G4" i="4"/>
  <c r="H4" i="4"/>
  <c r="I4" i="4"/>
  <c r="J4" i="4"/>
  <c r="K4" i="4"/>
  <c r="L4" i="4"/>
  <c r="M4" i="4"/>
  <c r="N4" i="4"/>
  <c r="C4" i="4"/>
  <c r="O19" i="3"/>
  <c r="D41" i="3" s="1"/>
  <c r="O18" i="3"/>
  <c r="D40" i="3" s="1"/>
  <c r="O17" i="3"/>
  <c r="D39" i="3" s="1"/>
  <c r="O7" i="3"/>
  <c r="D29" i="3" s="1"/>
  <c r="O8" i="3"/>
  <c r="O9" i="3"/>
  <c r="D31" i="3" s="1"/>
  <c r="O10" i="3"/>
  <c r="D32" i="3" s="1"/>
  <c r="O11" i="3"/>
  <c r="D33" i="3" s="1"/>
  <c r="O12" i="3"/>
  <c r="D34" i="3" s="1"/>
  <c r="O13" i="3"/>
  <c r="D35" i="3" s="1"/>
  <c r="O14" i="3"/>
  <c r="D36" i="3" s="1"/>
  <c r="O15" i="3"/>
  <c r="D37" i="3" s="1"/>
  <c r="O16" i="3"/>
  <c r="D38" i="3" s="1"/>
  <c r="O3" i="3"/>
  <c r="D25" i="3" s="1"/>
  <c r="D23" i="2"/>
  <c r="E23" i="2" s="1"/>
  <c r="F23" i="2" s="1"/>
  <c r="H8" i="2"/>
  <c r="D24" i="2" s="1"/>
  <c r="E24" i="2" s="1"/>
  <c r="F24" i="2" s="1"/>
  <c r="H9" i="2"/>
  <c r="D25" i="2" s="1"/>
  <c r="E25" i="2" s="1"/>
  <c r="F25" i="2" s="1"/>
  <c r="H10" i="2"/>
  <c r="D26" i="2" s="1"/>
  <c r="E26" i="2" s="1"/>
  <c r="F26" i="2" s="1"/>
  <c r="H11" i="2"/>
  <c r="D27" i="2" s="1"/>
  <c r="E27" i="2" s="1"/>
  <c r="F27" i="2" s="1"/>
  <c r="H12" i="2"/>
  <c r="D28" i="2" s="1"/>
  <c r="E28" i="2" s="1"/>
  <c r="F28" i="2" s="1"/>
  <c r="H13" i="2"/>
  <c r="D29" i="2" s="1"/>
  <c r="E29" i="2" s="1"/>
  <c r="F29" i="2" s="1"/>
  <c r="H14" i="2"/>
  <c r="H15" i="2"/>
  <c r="D31" i="2" s="1"/>
  <c r="E31" i="2" s="1"/>
  <c r="F31" i="2" s="1"/>
  <c r="H16" i="2"/>
  <c r="D32" i="2" s="1"/>
  <c r="E32" i="2" s="1"/>
  <c r="F32" i="2" s="1"/>
  <c r="H17" i="2"/>
  <c r="D33" i="2" s="1"/>
  <c r="E33" i="2" s="1"/>
  <c r="F33" i="2" s="1"/>
  <c r="H6" i="2"/>
  <c r="C3" i="9" l="1"/>
  <c r="C7" i="9" s="1"/>
  <c r="D14" i="6"/>
  <c r="E14" i="6" s="1"/>
  <c r="F14" i="6" s="1"/>
  <c r="C10" i="7"/>
  <c r="C12" i="7"/>
  <c r="K15" i="1" s="1"/>
  <c r="D30" i="3"/>
  <c r="C11" i="12"/>
  <c r="C24" i="7" s="1"/>
  <c r="H18" i="2"/>
  <c r="D43" i="3"/>
  <c r="C15" i="9"/>
  <c r="C15" i="7" s="1"/>
  <c r="K14" i="1" s="1"/>
  <c r="C14" i="9"/>
  <c r="C16" i="9"/>
  <c r="C16" i="7" s="1"/>
  <c r="I14" i="2"/>
  <c r="I17" i="2"/>
  <c r="C3" i="4" a="1"/>
  <c r="C3" i="4" s="1"/>
  <c r="O3" i="4" s="1"/>
  <c r="E37" i="3"/>
  <c r="F37" i="3" s="1"/>
  <c r="E34" i="3"/>
  <c r="F34" i="3" s="1"/>
  <c r="E33" i="3"/>
  <c r="F33" i="3" s="1"/>
  <c r="E31" i="3"/>
  <c r="F31" i="3" s="1"/>
  <c r="E29" i="3"/>
  <c r="F29" i="3" s="1"/>
  <c r="E36" i="3"/>
  <c r="F36" i="3" s="1"/>
  <c r="E35" i="3"/>
  <c r="F35" i="3" s="1"/>
  <c r="E32" i="3"/>
  <c r="F32" i="3" s="1"/>
  <c r="E30" i="3"/>
  <c r="F30" i="3" s="1"/>
  <c r="E25" i="3"/>
  <c r="E38" i="3"/>
  <c r="F38" i="3" s="1"/>
  <c r="E41" i="3"/>
  <c r="F41" i="3" s="1"/>
  <c r="E40" i="3"/>
  <c r="F40" i="3" s="1"/>
  <c r="E39" i="3"/>
  <c r="F39" i="3" s="1"/>
  <c r="O4" i="4"/>
  <c r="D4" i="6" s="1"/>
  <c r="I16" i="2"/>
  <c r="D30" i="2"/>
  <c r="E30" i="2" s="1"/>
  <c r="F30" i="2" s="1"/>
  <c r="I7" i="2"/>
  <c r="I15" i="2"/>
  <c r="I13" i="2"/>
  <c r="I12" i="2"/>
  <c r="I11" i="2"/>
  <c r="I10" i="2"/>
  <c r="I9" i="2"/>
  <c r="I8" i="2"/>
  <c r="D22" i="2"/>
  <c r="C13" i="12" l="1"/>
  <c r="C26" i="7" s="1"/>
  <c r="C10" i="12"/>
  <c r="C23" i="7" s="1"/>
  <c r="C6" i="7"/>
  <c r="D11" i="1"/>
  <c r="E43" i="3"/>
  <c r="L5" i="4"/>
  <c r="L10" i="4" s="1"/>
  <c r="L13" i="4" s="1"/>
  <c r="L14" i="4" s="1"/>
  <c r="D5" i="4"/>
  <c r="D6" i="4" s="1"/>
  <c r="E5" i="4"/>
  <c r="E6" i="4" s="1"/>
  <c r="G5" i="4"/>
  <c r="G10" i="4" s="1"/>
  <c r="G13" i="4" s="1"/>
  <c r="G14" i="4" s="1"/>
  <c r="D3" i="6"/>
  <c r="E3" i="6" s="1"/>
  <c r="F3" i="6" s="1"/>
  <c r="C9" i="7"/>
  <c r="I5" i="4"/>
  <c r="J5" i="4"/>
  <c r="M5" i="4"/>
  <c r="N5" i="4"/>
  <c r="E22" i="2"/>
  <c r="D34" i="2"/>
  <c r="C5" i="4"/>
  <c r="F5" i="4"/>
  <c r="K5" i="4"/>
  <c r="H5" i="4"/>
  <c r="F25" i="3"/>
  <c r="E4" i="6"/>
  <c r="F4" i="6" s="1"/>
  <c r="G6" i="4" l="1"/>
  <c r="E10" i="4"/>
  <c r="E13" i="4" s="1"/>
  <c r="E14" i="4" s="1"/>
  <c r="L6" i="4"/>
  <c r="D10" i="4"/>
  <c r="D13" i="4" s="1"/>
  <c r="D14" i="4" s="1"/>
  <c r="O5" i="4"/>
  <c r="D5" i="6"/>
  <c r="E5" i="6" s="1"/>
  <c r="F5" i="6" s="1"/>
  <c r="H10" i="4"/>
  <c r="H13" i="4" s="1"/>
  <c r="H14" i="4" s="1"/>
  <c r="H6" i="4"/>
  <c r="M10" i="4"/>
  <c r="M13" i="4" s="1"/>
  <c r="M14" i="4" s="1"/>
  <c r="M6" i="4"/>
  <c r="F10" i="4"/>
  <c r="F13" i="4" s="1"/>
  <c r="F14" i="4" s="1"/>
  <c r="F6" i="4"/>
  <c r="C10" i="4"/>
  <c r="C13" i="4" s="1"/>
  <c r="C14" i="4" s="1"/>
  <c r="C6" i="4"/>
  <c r="F22" i="2"/>
  <c r="E34" i="2"/>
  <c r="N10" i="4"/>
  <c r="N13" i="4" s="1"/>
  <c r="N14" i="4" s="1"/>
  <c r="N6" i="4"/>
  <c r="K10" i="4"/>
  <c r="K13" i="4" s="1"/>
  <c r="K14" i="4" s="1"/>
  <c r="K6" i="4"/>
  <c r="J10" i="4"/>
  <c r="J13" i="4" s="1"/>
  <c r="J14" i="4" s="1"/>
  <c r="J6" i="4"/>
  <c r="I10" i="4"/>
  <c r="I13" i="4" s="1"/>
  <c r="I14" i="4" s="1"/>
  <c r="I6" i="4"/>
  <c r="D9" i="6" l="1"/>
  <c r="O6" i="4"/>
  <c r="C7" i="7" s="1"/>
  <c r="K12" i="1" s="1"/>
  <c r="F11" i="1"/>
  <c r="O10" i="4"/>
  <c r="O13" i="4"/>
  <c r="D12" i="6"/>
  <c r="E12" i="6" s="1"/>
  <c r="F12" i="6" s="1"/>
  <c r="E9" i="6"/>
  <c r="F9" i="6" s="1"/>
  <c r="O14" i="4" l="1"/>
  <c r="C8" i="7" s="1"/>
  <c r="K13" i="1" s="1"/>
  <c r="D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<sst xmlns="http://schemas.openxmlformats.org/spreadsheetml/2006/main" count="332" uniqueCount="214">
  <si>
    <t>Company Name</t>
  </si>
  <si>
    <t>Industry</t>
  </si>
  <si>
    <t>Reporting Month</t>
  </si>
  <si>
    <t>Prepared By</t>
  </si>
  <si>
    <t>MONTHLY MIS DASHBOARD</t>
  </si>
  <si>
    <t>Revenue</t>
  </si>
  <si>
    <t>EBITDA</t>
  </si>
  <si>
    <t>Net Profit</t>
  </si>
  <si>
    <t>Cash Balance</t>
  </si>
  <si>
    <t>Burn Rate</t>
  </si>
  <si>
    <t>EBITDA Margin %</t>
  </si>
  <si>
    <t>Net Margin %</t>
  </si>
  <si>
    <t>Current Ratio</t>
  </si>
  <si>
    <t>Runway</t>
  </si>
  <si>
    <t>Month</t>
  </si>
  <si>
    <t>Total Revenue</t>
  </si>
  <si>
    <t>Growth %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</si>
  <si>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</si>
  <si>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</si>
  <si>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</si>
  <si>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</si>
  <si>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</si>
  <si>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</si>
  <si>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</si>
  <si>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</si>
  <si>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</si>
  <si>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</si>
  <si>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</si>
  <si>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</si>
  <si>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</si>
  <si>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Target Revenue</t>
  </si>
  <si>
    <t>Actual Revenue</t>
  </si>
  <si>
    <t>Variance</t>
  </si>
  <si>
    <t>Expense Head</t>
  </si>
  <si>
    <t>Salaries &amp; Wages</t>
  </si>
  <si>
    <t>Rent</t>
  </si>
  <si>
    <t>Marketing</t>
  </si>
  <si>
    <t>Software Subscriptions</t>
  </si>
  <si>
    <t>Utilities</t>
  </si>
  <si>
    <t>Internet &amp; Phone</t>
  </si>
  <si>
    <t>Travel</t>
  </si>
  <si>
    <t>Office Expenses</t>
  </si>
  <si>
    <t>Professional Fees</t>
  </si>
  <si>
    <t>Logistics</t>
  </si>
  <si>
    <t>Miscellaneous</t>
  </si>
  <si>
    <t>Interest Expense</t>
  </si>
  <si>
    <t>Bank Charges</t>
  </si>
  <si>
    <t>Depreciation &amp; Amortization</t>
  </si>
  <si>
    <t>Total Expenses</t>
  </si>
  <si>
    <t>Budget</t>
  </si>
  <si>
    <t>Actual</t>
  </si>
  <si>
    <t>Particulars</t>
  </si>
  <si>
    <t>Interest &amp; Bank Charges</t>
  </si>
  <si>
    <t>Profit Before Tax (PBT)</t>
  </si>
  <si>
    <t>Tax Expense</t>
  </si>
  <si>
    <t>Provision for Tax</t>
  </si>
  <si>
    <t>Cash Received from Customers</t>
  </si>
  <si>
    <t>Payments to Suppliers</t>
  </si>
  <si>
    <t>Salary Payments</t>
  </si>
  <si>
    <t>Operating Expenses Paid</t>
  </si>
  <si>
    <t>Net Cash from Operations</t>
  </si>
  <si>
    <t>Purchase of Equipment</t>
  </si>
  <si>
    <t>Purchase of Assets</t>
  </si>
  <si>
    <t>Net Cash from Investing</t>
  </si>
  <si>
    <t>Capital Introduced</t>
  </si>
  <si>
    <t>Loan Received</t>
  </si>
  <si>
    <t>Loan Repayment</t>
  </si>
  <si>
    <t>Interest Paid</t>
  </si>
  <si>
    <t>Net Cash from Financing</t>
  </si>
  <si>
    <t>Opening Cash &amp; Cash Equivalents</t>
  </si>
  <si>
    <t>Change in Cash &amp; Cash Equivalents</t>
  </si>
  <si>
    <t>Closing Cash &amp; Cash Equivalents</t>
  </si>
  <si>
    <t>Variance %</t>
  </si>
  <si>
    <t>Operating Expenses</t>
  </si>
  <si>
    <t>Financial Expenses</t>
  </si>
  <si>
    <t>Depreciation</t>
  </si>
  <si>
    <t>Profit Before Tax</t>
  </si>
  <si>
    <t>Tax Provision</t>
  </si>
  <si>
    <t>Closing Cash Balance</t>
  </si>
  <si>
    <t>KPI / Ratio</t>
  </si>
  <si>
    <t>Value</t>
  </si>
  <si>
    <t>Financial KPIs:</t>
  </si>
  <si>
    <t>Revenue Growth %</t>
  </si>
  <si>
    <t>Net Profit Margin %</t>
  </si>
  <si>
    <t>Operating Expense Ratio %</t>
  </si>
  <si>
    <t>Runway (Months)</t>
  </si>
  <si>
    <t>Liquidity Ratios:</t>
  </si>
  <si>
    <t>Quick Ratio</t>
  </si>
  <si>
    <t>Previous Year Revenue</t>
  </si>
  <si>
    <t>ACCOUNTS RECEIVABLE</t>
  </si>
  <si>
    <t>Customer Name</t>
  </si>
  <si>
    <t>Outstanding Amount</t>
  </si>
  <si>
    <t>Status</t>
  </si>
  <si>
    <t>ACCOUNTS PAYABLE</t>
  </si>
  <si>
    <t>Vendor Name</t>
  </si>
  <si>
    <t>SUMMARY</t>
  </si>
  <si>
    <t>Amount</t>
  </si>
  <si>
    <t>Total Receivables</t>
  </si>
  <si>
    <t>Total Payables</t>
  </si>
  <si>
    <t>Net Working Capital Position</t>
  </si>
  <si>
    <t>Cash &amp; Bank Balance</t>
  </si>
  <si>
    <t>Accounts Receivable</t>
  </si>
  <si>
    <t>Inventory</t>
  </si>
  <si>
    <t>Other Current Assets</t>
  </si>
  <si>
    <t>Total Current Assets</t>
  </si>
  <si>
    <t>Accounts Payable</t>
  </si>
  <si>
    <t>Short-Term Borrowings</t>
  </si>
  <si>
    <t>Other Current Liabilities</t>
  </si>
  <si>
    <t>Total Current Liabilities</t>
  </si>
  <si>
    <t>Working Capital</t>
  </si>
  <si>
    <t>→ Manual Input Required</t>
  </si>
  <si>
    <t>GENERAL INSTRUCTIONS</t>
  </si>
  <si>
    <t>• Cells highlighted in Light Blue are designated for manual data entry unless otherwise specified.</t>
  </si>
  <si>
    <t>• While entering numerical values, do not use commas (,) or negative signs (-) unless specifically instructed.</t>
  </si>
  <si>
    <t>• All other cells contain formulas and should not be modified.</t>
  </si>
  <si>
    <t>• It is recommended to update all relevant input sheets before reviewing the Dashboard and KPI outputs.</t>
  </si>
  <si>
    <t>The only manual inputs required in this sheet are the following fields under the Basic Details section:</t>
  </si>
  <si>
    <t>• Company Name</t>
  </si>
  <si>
    <t>• Industry</t>
  </si>
  <si>
    <t>• Reporting Month</t>
  </si>
  <si>
    <t>• Prepared By</t>
  </si>
  <si>
    <t>These fields are optional but recommended for completeness and better presentation of the dashboard.</t>
  </si>
  <si>
    <t>This sheet contains two tables:</t>
  </si>
  <si>
    <t>1. Revenue Distribution Table</t>
  </si>
  <si>
    <t>Enter revenue figures under the appropriate revenue streams for each month.</t>
  </si>
  <si>
    <t>2. Revenue Variance Table</t>
  </si>
  <si>
    <t>Enter the target total revenue for each month. The actual revenue will be calculated automatically based on the revenue entered in the Revenue Distribution Table.</t>
  </si>
  <si>
    <t>1. Expense Table</t>
  </si>
  <si>
    <t>Enter monthly expenses under the respective expense heads.</t>
  </si>
  <si>
    <t>2. Expense Variance Table</t>
  </si>
  <si>
    <t>Enter the budgeted annual expense amount against each expense head. Variance calculations will be generated automatically.</t>
  </si>
  <si>
    <t>Please note the following while entering data:</t>
  </si>
  <si>
    <t>• All cash outflows must be entered with a negative (-) sign.</t>
  </si>
  <si>
    <t>• Cash inflows should be entered as positive values.</t>
  </si>
  <si>
    <t>• Enter the Opening Cash Balance in the designated input cell.</t>
  </si>
  <si>
    <t>• All cash flow figures should reflect actual cash movements during the period.</t>
  </si>
  <si>
    <t>Only one manual input is required in this sheet:</t>
  </si>
  <si>
    <t>• Budgeted Closing Cash Balance</t>
  </si>
  <si>
    <t>Enter the expected year-end cash balance in the designated input cell.</t>
  </si>
  <si>
    <t>This sheet contains separate tables for Receivables and Payables.</t>
  </si>
  <si>
    <t>For each customer/vendor, enter:</t>
  </si>
  <si>
    <t>• Customer/Vendor Name</t>
  </si>
  <si>
    <t>• Outstanding Amount</t>
  </si>
  <si>
    <t>Status Column</t>
  </si>
  <si>
    <t>The Status column contains a drop-down list with the following options:</t>
  </si>
  <si>
    <t>• Unpaid</t>
  </si>
  <si>
    <t>• Partially Paid</t>
  </si>
  <si>
    <t>• Paid</t>
  </si>
  <si>
    <t>Select the appropriate status for each customer or vendor.</t>
  </si>
  <si>
    <t>Additional Notes:</t>
  </si>
  <si>
    <t>• To remove a selected status, simply press the Delete key.</t>
  </si>
  <si>
    <t>• To add more customers or vendors, insert additional rows anywhere between the first and last row of the respective table.</t>
  </si>
  <si>
    <t>Enter the following values in the designated input cells:</t>
  </si>
  <si>
    <t>• Inventory</t>
  </si>
  <si>
    <t>• Other Current Assets (if any)</t>
  </si>
  <si>
    <t>• Short-Term Borrowings</t>
  </si>
  <si>
    <t>• Other Current Liabilities (if any)</t>
  </si>
  <si>
    <t>The figures entered should represent either:</t>
  </si>
  <si>
    <t>• The current financial year-end balances, or</t>
  </si>
  <si>
    <t>• The latest available reported balances, as applicable.</t>
  </si>
  <si>
    <t>IMPORTANT NOTE</t>
  </si>
  <si>
    <t>DASHBOARD SHEET</t>
  </si>
  <si>
    <t>REVENUE MIS SHEET</t>
  </si>
  <si>
    <t>EXPENSE MIS SHEET</t>
  </si>
  <si>
    <t>BUDGET VS ACTUAL SHEET</t>
  </si>
  <si>
    <t>RECEIVABLES &amp; PAYABLES TRACKER SHEET</t>
  </si>
  <si>
    <t>WORKING CAPITAL INPUTS SHEET</t>
  </si>
  <si>
    <t>CASH FLOW STATEMENT SHEET (CFS)</t>
  </si>
  <si>
    <t>The Dashboard, P&amp;L Statement, KPI &amp; Ratio Analysis, and various summary sections are automatically populated based on the information entered in the input sheets.</t>
  </si>
  <si>
    <t>Please ensure all relevant data has been updated before reviewing the outputs.</t>
  </si>
  <si>
    <t>Other Revenue</t>
  </si>
  <si>
    <t>Revenue Stream Legend:</t>
  </si>
  <si>
    <r>
      <t xml:space="preserve">• </t>
    </r>
    <r>
      <rPr>
        <b/>
        <sz val="11"/>
        <color theme="1"/>
        <rFont val="Calibri"/>
        <family val="2"/>
        <scheme val="minor"/>
      </rPr>
      <t>Other Revenue</t>
    </r>
    <r>
      <rPr>
        <sz val="11"/>
        <color theme="1"/>
        <rFont val="Calibri"/>
        <family val="2"/>
        <scheme val="minor"/>
      </rPr>
      <t xml:space="preserve"> – Any revenue not covered under the above categories.</t>
    </r>
  </si>
  <si>
    <t>STARTUP MIS TEMPLATE FOR D2C / ECOMMERCE BUSINESS — INSTRUCTIONS FOR USE</t>
  </si>
  <si>
    <t>Website Sales</t>
  </si>
  <si>
    <t>Marketplace Sales</t>
  </si>
  <si>
    <t>Offline Sales</t>
  </si>
  <si>
    <t>B2B Sales</t>
  </si>
  <si>
    <r>
      <t xml:space="preserve">• </t>
    </r>
    <r>
      <rPr>
        <b/>
        <sz val="11"/>
        <color theme="1"/>
        <rFont val="Calibri"/>
        <family val="2"/>
        <scheme val="minor"/>
      </rPr>
      <t>Website Sales</t>
    </r>
    <r>
      <rPr>
        <sz val="11"/>
        <color theme="1"/>
        <rFont val="Calibri"/>
        <family val="2"/>
        <scheme val="minor"/>
      </rPr>
      <t xml:space="preserve"> – Revenue generated through the company's own website or online store.</t>
    </r>
  </si>
  <si>
    <r>
      <t xml:space="preserve">• </t>
    </r>
    <r>
      <rPr>
        <b/>
        <sz val="11"/>
        <color theme="1"/>
        <rFont val="Calibri"/>
        <family val="2"/>
        <scheme val="minor"/>
      </rPr>
      <t>Marketplace Sales</t>
    </r>
    <r>
      <rPr>
        <sz val="11"/>
        <color theme="1"/>
        <rFont val="Calibri"/>
        <family val="2"/>
        <scheme val="minor"/>
      </rPr>
      <t xml:space="preserve"> – Revenue generated through third-party marketplaces such as Amazon, Flipkart, Myntra, etc.</t>
    </r>
  </si>
  <si>
    <r>
      <t xml:space="preserve">• </t>
    </r>
    <r>
      <rPr>
        <b/>
        <sz val="11"/>
        <color theme="1"/>
        <rFont val="Calibri"/>
        <family val="2"/>
        <scheme val="minor"/>
      </rPr>
      <t>Offline Sales</t>
    </r>
    <r>
      <rPr>
        <sz val="11"/>
        <color theme="1"/>
        <rFont val="Calibri"/>
        <family val="2"/>
        <scheme val="minor"/>
      </rPr>
      <t xml:space="preserve"> – Revenue generated through physical stores, distributors, exhibitions, or offline channels.</t>
    </r>
  </si>
  <si>
    <r>
      <t xml:space="preserve">• </t>
    </r>
    <r>
      <rPr>
        <b/>
        <sz val="11"/>
        <color theme="1"/>
        <rFont val="Calibri"/>
        <family val="2"/>
        <scheme val="minor"/>
      </rPr>
      <t>B2B Sales</t>
    </r>
    <r>
      <rPr>
        <sz val="11"/>
        <color theme="1"/>
        <rFont val="Calibri"/>
        <family val="2"/>
        <scheme val="minor"/>
      </rPr>
      <t xml:space="preserve"> – Revenue generated through bulk orders, wholesale customers, and business clients.</t>
    </r>
  </si>
  <si>
    <t>Inventory Purchases</t>
  </si>
  <si>
    <t>Marketplace Fees</t>
  </si>
  <si>
    <t>Warehousing Costs</t>
  </si>
  <si>
    <t>Total Orders</t>
  </si>
  <si>
    <t>Total Customers</t>
  </si>
  <si>
    <t>Returned Orders</t>
  </si>
  <si>
    <t>Marketing Spend</t>
  </si>
  <si>
    <t>Average Order Value (AOV)</t>
  </si>
  <si>
    <t>Customer Acquisition Cost (CAC)</t>
  </si>
  <si>
    <t>Return Rate</t>
  </si>
  <si>
    <t>Revenue per Customer</t>
  </si>
  <si>
    <t>D2C METRICS</t>
  </si>
  <si>
    <t>D2C Metrics – Input Legend:</t>
  </si>
  <si>
    <r>
      <t xml:space="preserve">• </t>
    </r>
    <r>
      <rPr>
        <b/>
        <sz val="11"/>
        <color theme="1"/>
        <rFont val="Calibri"/>
        <family val="2"/>
        <scheme val="minor"/>
      </rPr>
      <t>Total Orders</t>
    </r>
    <r>
      <rPr>
        <sz val="11"/>
        <color theme="1"/>
        <rFont val="Calibri"/>
        <family val="2"/>
        <scheme val="minor"/>
      </rPr>
      <t xml:space="preserve"> – Total number of customer orders received during the reporting period.</t>
    </r>
  </si>
  <si>
    <r>
      <t xml:space="preserve">• </t>
    </r>
    <r>
      <rPr>
        <b/>
        <sz val="11"/>
        <color theme="1"/>
        <rFont val="Calibri"/>
        <family val="2"/>
        <scheme val="minor"/>
      </rPr>
      <t>Total Customers</t>
    </r>
    <r>
      <rPr>
        <sz val="11"/>
        <color theme="1"/>
        <rFont val="Calibri"/>
        <family val="2"/>
        <scheme val="minor"/>
      </rPr>
      <t xml:space="preserve"> – Total number of unique customers who placed orders during the reporting period.</t>
    </r>
  </si>
  <si>
    <r>
      <t xml:space="preserve">• </t>
    </r>
    <r>
      <rPr>
        <b/>
        <sz val="11"/>
        <color theme="1"/>
        <rFont val="Calibri"/>
        <family val="2"/>
        <scheme val="minor"/>
      </rPr>
      <t>Returned Orders</t>
    </r>
    <r>
      <rPr>
        <sz val="11"/>
        <color theme="1"/>
        <rFont val="Calibri"/>
        <family val="2"/>
        <scheme val="minor"/>
      </rPr>
      <t xml:space="preserve"> – Total number of orders returned, cancelled, or refunded during the reporting period.</t>
    </r>
  </si>
  <si>
    <r>
      <t xml:space="preserve">• </t>
    </r>
    <r>
      <rPr>
        <b/>
        <sz val="11"/>
        <color theme="1"/>
        <rFont val="Calibri"/>
        <family val="2"/>
        <scheme val="minor"/>
      </rPr>
      <t>Marketing Spend</t>
    </r>
    <r>
      <rPr>
        <sz val="11"/>
        <color theme="1"/>
        <rFont val="Calibri"/>
        <family val="2"/>
        <scheme val="minor"/>
      </rPr>
      <t xml:space="preserve"> – Total expenditure incurred on customer acquisition, advertising, promotions, and marketing campaigns during the reporting period.</t>
    </r>
  </si>
  <si>
    <t>GENERAL KPIs / RATIOS</t>
  </si>
  <si>
    <t>INDUSTRY-SPECIFIC KPIs / RATIOS</t>
  </si>
  <si>
    <t>ABC Pvt Ltd</t>
  </si>
  <si>
    <t>D2C</t>
  </si>
  <si>
    <t>XXX</t>
  </si>
  <si>
    <t>A</t>
  </si>
  <si>
    <t>B</t>
  </si>
  <si>
    <t>C</t>
  </si>
  <si>
    <t>Outstanding</t>
  </si>
  <si>
    <t>Received</t>
  </si>
  <si>
    <t>Partially Paid</t>
  </si>
  <si>
    <t>X</t>
  </si>
  <si>
    <t>Y</t>
  </si>
  <si>
    <t>Z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</si>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</sst>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General\ &quot;months&quot;"/>
    <numFmt numFmtId="166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</fills>
  <borders count="3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3" fontId="0" fillId="3" borderId="3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9" fontId="0" fillId="0" borderId="3" xfId="1" applyFont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2" fillId="2" borderId="1" xfId="0" applyFont="1" applyFill="1" applyBorder="1"/>
    <xf numFmtId="0" fontId="3" fillId="8" borderId="2" xfId="0" applyFont="1" applyFill="1" applyBorder="1"/>
    <xf numFmtId="164" fontId="3" fillId="8" borderId="2" xfId="0" applyNumberFormat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3" fontId="0" fillId="0" borderId="0" xfId="1" applyNumberFormat="1" applyFont="1" applyAlignment="1">
      <alignment horizontal="center"/>
    </xf>
    <xf numFmtId="3" fontId="1" fillId="0" borderId="0" xfId="1" applyNumberFormat="1" applyFont="1" applyAlignment="1">
      <alignment horizontal="center"/>
    </xf>
    <xf numFmtId="9" fontId="2" fillId="2" borderId="1" xfId="1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3" fillId="0" borderId="6" xfId="0" applyFont="1" applyBorder="1"/>
    <xf numFmtId="164" fontId="0" fillId="0" borderId="3" xfId="1" applyNumberFormat="1" applyFont="1" applyBorder="1" applyAlignment="1">
      <alignment horizontal="center"/>
    </xf>
    <xf numFmtId="164" fontId="3" fillId="0" borderId="6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64" fontId="1" fillId="0" borderId="3" xfId="1" applyNumberFormat="1" applyFont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9" fontId="1" fillId="0" borderId="0" xfId="1" applyFont="1" applyAlignment="1">
      <alignment horizontal="center"/>
    </xf>
    <xf numFmtId="0" fontId="0" fillId="0" borderId="5" xfId="0" applyBorder="1"/>
    <xf numFmtId="3" fontId="0" fillId="3" borderId="5" xfId="0" applyNumberFormat="1" applyFill="1" applyBorder="1" applyAlignment="1">
      <alignment horizontal="center"/>
    </xf>
    <xf numFmtId="0" fontId="3" fillId="0" borderId="7" xfId="0" applyFont="1" applyBorder="1"/>
    <xf numFmtId="0" fontId="3" fillId="8" borderId="7" xfId="0" applyFont="1" applyFill="1" applyBorder="1"/>
    <xf numFmtId="164" fontId="0" fillId="3" borderId="1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3" fillId="8" borderId="7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4" xfId="0" applyFont="1" applyBorder="1"/>
    <xf numFmtId="164" fontId="3" fillId="0" borderId="4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2" xfId="0" applyFont="1" applyBorder="1"/>
    <xf numFmtId="164" fontId="3" fillId="0" borderId="2" xfId="0" applyNumberFormat="1" applyFont="1" applyBorder="1" applyAlignment="1">
      <alignment horizontal="center"/>
    </xf>
    <xf numFmtId="0" fontId="3" fillId="0" borderId="5" xfId="0" applyFont="1" applyBorder="1"/>
    <xf numFmtId="164" fontId="3" fillId="0" borderId="5" xfId="0" applyNumberFormat="1" applyFont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9" fontId="3" fillId="0" borderId="1" xfId="1" applyFont="1" applyBorder="1" applyAlignment="1">
      <alignment horizontal="center"/>
    </xf>
    <xf numFmtId="9" fontId="3" fillId="0" borderId="6" xfId="1" applyFont="1" applyBorder="1" applyAlignment="1">
      <alignment horizontal="center"/>
    </xf>
    <xf numFmtId="9" fontId="3" fillId="0" borderId="4" xfId="1" applyFont="1" applyBorder="1" applyAlignment="1">
      <alignment horizontal="center"/>
    </xf>
    <xf numFmtId="9" fontId="3" fillId="0" borderId="5" xfId="1" applyFont="1" applyBorder="1" applyAlignment="1">
      <alignment horizontal="center"/>
    </xf>
    <xf numFmtId="9" fontId="3" fillId="0" borderId="2" xfId="1" applyFont="1" applyBorder="1" applyAlignment="1">
      <alignment horizontal="center"/>
    </xf>
    <xf numFmtId="0" fontId="3" fillId="8" borderId="2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8" xfId="0" applyFont="1" applyBorder="1"/>
    <xf numFmtId="0" fontId="12" fillId="0" borderId="4" xfId="0" applyFont="1" applyBorder="1"/>
    <xf numFmtId="9" fontId="12" fillId="0" borderId="4" xfId="1" applyFont="1" applyBorder="1" applyAlignment="1">
      <alignment horizontal="center"/>
    </xf>
    <xf numFmtId="9" fontId="12" fillId="0" borderId="8" xfId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0" fillId="3" borderId="3" xfId="0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4" fontId="0" fillId="0" borderId="3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166" fontId="3" fillId="8" borderId="1" xfId="0" applyNumberFormat="1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11" xfId="0" applyNumberFormat="1" applyBorder="1" applyAlignment="1">
      <alignment horizontal="center"/>
    </xf>
    <xf numFmtId="9" fontId="2" fillId="2" borderId="10" xfId="1" applyFont="1" applyFill="1" applyBorder="1" applyAlignment="1">
      <alignment horizontal="center"/>
    </xf>
    <xf numFmtId="164" fontId="1" fillId="0" borderId="10" xfId="1" applyNumberFormat="1" applyFont="1" applyBorder="1" applyAlignment="1">
      <alignment horizontal="center"/>
    </xf>
    <xf numFmtId="164" fontId="3" fillId="0" borderId="13" xfId="1" applyNumberFormat="1" applyFont="1" applyBorder="1" applyAlignment="1">
      <alignment horizontal="center"/>
    </xf>
    <xf numFmtId="9" fontId="12" fillId="0" borderId="14" xfId="1" applyFont="1" applyBorder="1" applyAlignment="1">
      <alignment horizontal="center"/>
    </xf>
    <xf numFmtId="164" fontId="0" fillId="0" borderId="14" xfId="1" applyNumberFormat="1" applyFont="1" applyBorder="1" applyAlignment="1">
      <alignment horizontal="center"/>
    </xf>
    <xf numFmtId="164" fontId="1" fillId="0" borderId="11" xfId="1" applyNumberFormat="1" applyFont="1" applyBorder="1" applyAlignment="1">
      <alignment horizontal="center"/>
    </xf>
    <xf numFmtId="164" fontId="0" fillId="0" borderId="11" xfId="1" applyNumberFormat="1" applyFont="1" applyBorder="1" applyAlignment="1">
      <alignment horizontal="center"/>
    </xf>
    <xf numFmtId="164" fontId="3" fillId="8" borderId="12" xfId="1" applyNumberFormat="1" applyFont="1" applyFill="1" applyBorder="1" applyAlignment="1">
      <alignment horizontal="center"/>
    </xf>
    <xf numFmtId="9" fontId="12" fillId="0" borderId="15" xfId="1" applyFont="1" applyBorder="1" applyAlignment="1">
      <alignment horizontal="center"/>
    </xf>
    <xf numFmtId="9" fontId="2" fillId="2" borderId="16" xfId="1" applyFont="1" applyFill="1" applyBorder="1" applyAlignment="1">
      <alignment horizontal="center"/>
    </xf>
    <xf numFmtId="164" fontId="1" fillId="0" borderId="17" xfId="1" applyNumberFormat="1" applyFont="1" applyBorder="1" applyAlignment="1">
      <alignment horizontal="center"/>
    </xf>
    <xf numFmtId="164" fontId="1" fillId="0" borderId="18" xfId="1" applyNumberFormat="1" applyFont="1" applyBorder="1" applyAlignment="1">
      <alignment horizontal="center"/>
    </xf>
    <xf numFmtId="9" fontId="12" fillId="0" borderId="19" xfId="1" applyFont="1" applyBorder="1" applyAlignment="1">
      <alignment horizontal="center"/>
    </xf>
    <xf numFmtId="164" fontId="1" fillId="0" borderId="19" xfId="1" applyNumberFormat="1" applyFont="1" applyBorder="1" applyAlignment="1">
      <alignment horizontal="center"/>
    </xf>
    <xf numFmtId="164" fontId="1" fillId="0" borderId="20" xfId="1" applyNumberFormat="1" applyFont="1" applyBorder="1" applyAlignment="1">
      <alignment horizontal="center"/>
    </xf>
    <xf numFmtId="164" fontId="3" fillId="8" borderId="21" xfId="1" applyNumberFormat="1" applyFont="1" applyFill="1" applyBorder="1" applyAlignment="1">
      <alignment horizontal="center"/>
    </xf>
    <xf numFmtId="9" fontId="12" fillId="0" borderId="9" xfId="1" applyFont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4" fontId="3" fillId="0" borderId="22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3" fillId="8" borderId="22" xfId="0" applyNumberFormat="1" applyFont="1" applyFill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3" fillId="0" borderId="23" xfId="0" applyNumberFormat="1" applyFon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3" fillId="8" borderId="23" xfId="0" applyNumberFormat="1" applyFont="1" applyFill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9" fontId="9" fillId="3" borderId="1" xfId="0" applyNumberFormat="1" applyFont="1" applyFill="1" applyBorder="1" applyAlignment="1">
      <alignment horizontal="center"/>
    </xf>
    <xf numFmtId="165" fontId="9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15" fillId="0" borderId="0" xfId="0" applyFont="1"/>
    <xf numFmtId="0" fontId="0" fillId="0" borderId="0" xfId="0" applyAlignment="1">
      <alignment horizontal="left" vertical="center" indent="1"/>
    </xf>
    <xf numFmtId="0" fontId="13" fillId="0" borderId="0" xfId="0" applyFont="1"/>
    <xf numFmtId="164" fontId="10" fillId="8" borderId="12" xfId="0" applyNumberFormat="1" applyFont="1" applyFill="1" applyBorder="1" applyAlignment="1">
      <alignment horizontal="center"/>
    </xf>
    <xf numFmtId="0" fontId="0" fillId="0" borderId="25" xfId="0" applyBorder="1" applyAlignment="1">
      <alignment horizontal="left" vertical="center" indent="1"/>
    </xf>
    <xf numFmtId="0" fontId="0" fillId="0" borderId="14" xfId="0" applyBorder="1" applyAlignment="1">
      <alignment horizontal="left" vertical="center" indent="1"/>
    </xf>
    <xf numFmtId="0" fontId="3" fillId="0" borderId="11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3" fontId="0" fillId="0" borderId="1" xfId="0" applyNumberFormat="1" applyBorder="1" applyAlignment="1">
      <alignment horizontal="center"/>
    </xf>
    <xf numFmtId="0" fontId="0" fillId="0" borderId="25" xfId="0" applyBorder="1"/>
    <xf numFmtId="0" fontId="0" fillId="0" borderId="14" xfId="0" applyBorder="1"/>
    <xf numFmtId="0" fontId="2" fillId="2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166" fontId="9" fillId="3" borderId="1" xfId="0" applyNumberFormat="1" applyFont="1" applyFill="1" applyBorder="1" applyAlignment="1">
      <alignment horizontal="center"/>
    </xf>
    <xf numFmtId="164" fontId="8" fillId="7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14" fillId="2" borderId="0" xfId="0" applyFont="1" applyFill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wrapText="1"/>
    </xf>
    <xf numFmtId="0" fontId="16" fillId="2" borderId="0" xfId="0" applyFont="1" applyFill="1" applyAlignment="1">
      <alignment horizontal="center"/>
    </xf>
    <xf numFmtId="0" fontId="1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CCCC"/>
      <color rgb="FFFFFF99"/>
      <color rgb="FFDDEBF7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chemeClr val="tx1"/>
                </a:solidFill>
              </a:rPr>
              <a:t>Revenue</a:t>
            </a:r>
            <a:r>
              <a:rPr lang="en-IN" sz="1400" b="1" baseline="0">
                <a:solidFill>
                  <a:schemeClr val="tx1"/>
                </a:solidFill>
              </a:rPr>
              <a:t> Trend</a:t>
            </a:r>
            <a:endParaRPr lang="en-IN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'P&amp;L'!$B$3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'P&amp;L'!$C$2:$N$2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'P&amp;L'!$C$3:$N$3</c:f>
              <c:numCache>
                <c:formatCode>#,##0;\(#,##0\);\-</c:formatCode>
                <c:ptCount val="12"/>
                <c:pt idx="0">
                  <c:v>400000</c:v>
                </c:pt>
                <c:pt idx="1">
                  <c:v>425000</c:v>
                </c:pt>
                <c:pt idx="2">
                  <c:v>450000</c:v>
                </c:pt>
                <c:pt idx="3">
                  <c:v>475000</c:v>
                </c:pt>
                <c:pt idx="4">
                  <c:v>500000</c:v>
                </c:pt>
                <c:pt idx="5">
                  <c:v>525000</c:v>
                </c:pt>
                <c:pt idx="6">
                  <c:v>550000</c:v>
                </c:pt>
                <c:pt idx="7">
                  <c:v>575000</c:v>
                </c:pt>
                <c:pt idx="8">
                  <c:v>600000</c:v>
                </c:pt>
                <c:pt idx="9">
                  <c:v>625000</c:v>
                </c:pt>
                <c:pt idx="10">
                  <c:v>650000</c:v>
                </c:pt>
                <c:pt idx="11">
                  <c:v>675000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EC-4FDE-8A30-B35D49260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842432"/>
        <c:axId val="1505834272"/>
      </c:lineChart>
      <c:catAx>
        <c:axId val="150584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34272"/>
        <c:crosses val="autoZero"/>
        <c:auto val="1"/>
        <c:lblAlgn val="ctr"/>
        <c:lblOffset val="100"/>
        <c:noMultiLvlLbl val="0"/>
      </c:catAx>
      <c:valAx>
        <c:axId val="1505834272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4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Expense</a:t>
            </a:r>
            <a:r>
              <a:rPr lang="en-US" sz="1400" b="1" baseline="0">
                <a:solidFill>
                  <a:sysClr val="windowText" lastClr="000000"/>
                </a:solidFill>
              </a:rPr>
              <a:t> Breakdown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'Expense MIS'!$O$2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A6-4FC7-BB0D-F032BC16DFCE}"/>
              </c:ext>
            </c:extLst>
          </c:dPt>
          <c:cat>
            <c:strRef>
              <c:f>'Expense MIS'!$B$3:$B$20</c:f>
              <c:strCache>
                <c:ptCount val="18"/>
                <c:pt idx="0">
                  <c:v>Salaries &amp; Wages</c:v>
                </c:pt>
                <c:pt idx="1">
                  <c:v>Inventory Purchases</c:v>
                </c:pt>
                <c:pt idx="2">
                  <c:v>Marketplace Fees</c:v>
                </c:pt>
                <c:pt idx="3">
                  <c:v>Warehousing Costs</c:v>
                </c:pt>
                <c:pt idx="4">
                  <c:v>Rent</c:v>
                </c:pt>
                <c:pt idx="5">
                  <c:v>Marketing</c:v>
                </c:pt>
                <c:pt idx="6">
                  <c:v>Software Subscriptions</c:v>
                </c:pt>
                <c:pt idx="7">
                  <c:v>Utilities</c:v>
                </c:pt>
                <c:pt idx="8">
                  <c:v>Internet &amp; Phone</c:v>
                </c:pt>
                <c:pt idx="9">
                  <c:v>Travel</c:v>
                </c:pt>
                <c:pt idx="10">
                  <c:v>Office Expenses</c:v>
                </c:pt>
                <c:pt idx="11">
                  <c:v>Professional Fees</c:v>
                </c:pt>
                <c:pt idx="12">
                  <c:v>Logistics</c:v>
                </c:pt>
                <c:pt idx="13">
                  <c:v>Miscellaneous</c:v>
                </c:pt>
                <c:pt idx="14">
                  <c:v>Interest Expense</c:v>
                </c:pt>
                <c:pt idx="15">
                  <c:v>Bank Charges</c:v>
                </c:pt>
                <c:pt idx="16">
                  <c:v>Depreciation &amp; Amortization</c:v>
                </c:pt>
                <c:pt idx="17">
                  <c:v>Provision for Tax</c:v>
                </c:pt>
              </c:strCache>
            </c:strRef>
          </c:cat>
          <c:val>
            <c:numRef>
              <c:f>'Expense MIS'!$O$3:$O$20</c:f>
              <c:numCache>
                <c:formatCode>#,##0;\(#,##0\);\-</c:formatCode>
                <c:ptCount val="18"/>
                <c:pt idx="0">
                  <c:v>344888.82424629823</c:v>
                </c:pt>
                <c:pt idx="1">
                  <c:v>551822.11879407719</c:v>
                </c:pt>
                <c:pt idx="2">
                  <c:v>27591.10593970387</c:v>
                </c:pt>
                <c:pt idx="3">
                  <c:v>68977.764849259649</c:v>
                </c:pt>
                <c:pt idx="4">
                  <c:v>137955.5296985193</c:v>
                </c:pt>
                <c:pt idx="5">
                  <c:v>137955.5296985193</c:v>
                </c:pt>
                <c:pt idx="6">
                  <c:v>68977.764849259649</c:v>
                </c:pt>
                <c:pt idx="7">
                  <c:v>41386.658909555787</c:v>
                </c:pt>
                <c:pt idx="8">
                  <c:v>13795.552969851935</c:v>
                </c:pt>
                <c:pt idx="9">
                  <c:v>68977.764849259649</c:v>
                </c:pt>
                <c:pt idx="10">
                  <c:v>41386.658909555787</c:v>
                </c:pt>
                <c:pt idx="11">
                  <c:v>68977.764849259649</c:v>
                </c:pt>
                <c:pt idx="12">
                  <c:v>27591.10593970387</c:v>
                </c:pt>
                <c:pt idx="13">
                  <c:v>27591.10593970387</c:v>
                </c:pt>
                <c:pt idx="14">
                  <c:v>68977.764849259649</c:v>
                </c:pt>
                <c:pt idx="15">
                  <c:v>6897.7764849259675</c:v>
                </c:pt>
                <c:pt idx="16">
                  <c:v>137955.5296985193</c:v>
                </c:pt>
                <c:pt idx="17">
                  <c:v>137955.5296985193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0-4214-8974-FB6093D7B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2186592"/>
        <c:axId val="1712184672"/>
      </c:barChart>
      <c:catAx>
        <c:axId val="1712186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84672"/>
        <c:crosses val="autoZero"/>
        <c:auto val="1"/>
        <c:lblAlgn val="ctr"/>
        <c:lblOffset val="100"/>
        <c:noMultiLvlLbl val="0"/>
      </c:catAx>
      <c:valAx>
        <c:axId val="1712184672"/>
        <c:scaling>
          <c:orientation val="minMax"/>
        </c:scaling>
        <c:delete val="0"/>
        <c:axPos val="b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8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Profit</a:t>
            </a:r>
            <a:r>
              <a:rPr lang="en-US" b="1" baseline="0">
                <a:solidFill>
                  <a:sysClr val="windowText" lastClr="000000"/>
                </a:solidFill>
              </a:rPr>
              <a:t> Trend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'P&amp;L'!$B$5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'P&amp;L'!$C$2:$N$2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'P&amp;L'!$C$5:$N$5</c:f>
              <c:numCache>
                <c:formatCode>#,##0;\(#,##0\);\-</c:formatCode>
                <c:ptCount val="12"/>
                <c:pt idx="0">
                  <c:v>256500</c:v>
                </c:pt>
                <c:pt idx="1">
                  <c:v>277912.5</c:v>
                </c:pt>
                <c:pt idx="2">
                  <c:v>299235.3125</c:v>
                </c:pt>
                <c:pt idx="3">
                  <c:v>320466.1953125</c:v>
                </c:pt>
                <c:pt idx="4">
                  <c:v>341602.85019531252</c:v>
                </c:pt>
                <c:pt idx="5">
                  <c:v>362642.92145019537</c:v>
                </c:pt>
                <c:pt idx="6">
                  <c:v>383583.99448645028</c:v>
                </c:pt>
                <c:pt idx="7">
                  <c:v>404423.59434861154</c:v>
                </c:pt>
                <c:pt idx="8">
                  <c:v>425159.18420732685</c:v>
                </c:pt>
                <c:pt idx="9">
                  <c:v>445788.16381251009</c:v>
                </c:pt>
                <c:pt idx="10">
                  <c:v>466307.86790782283</c:v>
                </c:pt>
                <c:pt idx="11">
                  <c:v>486715.56460551848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BF-4974-B65E-1CBC6795D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2164992"/>
        <c:axId val="1712160672"/>
      </c:lineChart>
      <c:catAx>
        <c:axId val="171216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60672"/>
        <c:crosses val="autoZero"/>
        <c:auto val="1"/>
        <c:lblAlgn val="ctr"/>
        <c:lblOffset val="100"/>
        <c:noMultiLvlLbl val="0"/>
      </c:catAx>
      <c:valAx>
        <c:axId val="1712160672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6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19</xdr:row>
      <xdr:rowOff>185056</xdr:rowOff>
    </xdr:from>
    <xdr:to>
      <xdr:col>11</xdr:col>
      <xdr:colOff>21771</xdr:colOff>
      <xdr:row>37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13449-39F2-4F49-A314-736741823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259743</xdr:colOff>
      <xdr:row>39</xdr:row>
      <xdr:rowOff>86505</xdr:rowOff>
    </xdr:from>
    <xdr:to>
      <xdr:col>7</xdr:col>
      <xdr:colOff>40951</xdr:colOff>
      <xdr:row>59</xdr:row>
      <xdr:rowOff>54429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8E88BB-6041-404C-8917-686979868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206828</xdr:colOff>
      <xdr:row>39</xdr:row>
      <xdr:rowOff>97971</xdr:rowOff>
    </xdr:from>
    <xdr:to>
      <xdr:col>13</xdr:col>
      <xdr:colOff>21771</xdr:colOff>
      <xdr:row>59</xdr:row>
      <xdr:rowOff>43542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737A6F-F6A3-4FFA-8B8A-2337DDEAD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5E2D-64F4-4CE1-8D9D-510A78794D26}">
  <sheetPr>
    <tabColor theme="0" tint="-0.249977111117893"/>
  </sheetPr>
  <dimension ref="B2:S117"/>
  <sheetViews>
    <sheetView showGridLines="0" tabSelected="1" zoomScaleNormal="100" workbookViewId="0">
      <selection activeCell="I18" sqref="I18"/>
    </sheetView>
  </sheetViews>
  <sheetFormatPr defaultRowHeight="14.4" x14ac:dyDescent="0.3"/>
  <cols>
    <col min="1" max="1" width="1.77734375" customWidth="1"/>
  </cols>
  <sheetData>
    <row r="2" spans="2:19" x14ac:dyDescent="0.3">
      <c r="B2" s="123"/>
      <c r="C2" s="124" t="s">
        <v>110</v>
      </c>
    </row>
    <row r="4" spans="2:19" ht="21" x14ac:dyDescent="0.4">
      <c r="B4" s="150" t="s">
        <v>173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</row>
    <row r="6" spans="2:19" ht="18" x14ac:dyDescent="0.35">
      <c r="B6" s="126" t="s">
        <v>111</v>
      </c>
    </row>
    <row r="8" spans="2:19" x14ac:dyDescent="0.3">
      <c r="B8" t="s">
        <v>112</v>
      </c>
    </row>
    <row r="9" spans="2:19" x14ac:dyDescent="0.3">
      <c r="B9" t="s">
        <v>113</v>
      </c>
    </row>
    <row r="10" spans="2:19" x14ac:dyDescent="0.3">
      <c r="B10" t="s">
        <v>114</v>
      </c>
    </row>
    <row r="11" spans="2:19" x14ac:dyDescent="0.3">
      <c r="B11" t="s">
        <v>115</v>
      </c>
    </row>
    <row r="13" spans="2:19" ht="18" x14ac:dyDescent="0.35">
      <c r="B13" s="126" t="s">
        <v>161</v>
      </c>
    </row>
    <row r="15" spans="2:19" x14ac:dyDescent="0.3">
      <c r="B15" t="s">
        <v>116</v>
      </c>
    </row>
    <row r="17" spans="2:2" x14ac:dyDescent="0.3">
      <c r="B17" t="s">
        <v>117</v>
      </c>
    </row>
    <row r="18" spans="2:2" x14ac:dyDescent="0.3">
      <c r="B18" t="s">
        <v>118</v>
      </c>
    </row>
    <row r="19" spans="2:2" x14ac:dyDescent="0.3">
      <c r="B19" t="s">
        <v>119</v>
      </c>
    </row>
    <row r="20" spans="2:2" x14ac:dyDescent="0.3">
      <c r="B20" t="s">
        <v>120</v>
      </c>
    </row>
    <row r="22" spans="2:2" x14ac:dyDescent="0.3">
      <c r="B22" t="s">
        <v>121</v>
      </c>
    </row>
    <row r="24" spans="2:2" ht="18" x14ac:dyDescent="0.35">
      <c r="B24" s="126" t="s">
        <v>162</v>
      </c>
    </row>
    <row r="26" spans="2:2" x14ac:dyDescent="0.3">
      <c r="B26" t="s">
        <v>122</v>
      </c>
    </row>
    <row r="27" spans="2:2" x14ac:dyDescent="0.3">
      <c r="B27" s="125"/>
    </row>
    <row r="28" spans="2:2" x14ac:dyDescent="0.3">
      <c r="B28" s="125" t="s">
        <v>123</v>
      </c>
    </row>
    <row r="29" spans="2:2" x14ac:dyDescent="0.3">
      <c r="B29" s="125" t="s">
        <v>124</v>
      </c>
    </row>
    <row r="30" spans="2:2" x14ac:dyDescent="0.3">
      <c r="B30" s="125"/>
    </row>
    <row r="31" spans="2:2" x14ac:dyDescent="0.3">
      <c r="B31" s="125" t="s">
        <v>125</v>
      </c>
    </row>
    <row r="32" spans="2:2" x14ac:dyDescent="0.3">
      <c r="B32" s="125" t="s">
        <v>126</v>
      </c>
    </row>
    <row r="34" spans="2:10" x14ac:dyDescent="0.3">
      <c r="B34" s="130" t="s">
        <v>171</v>
      </c>
      <c r="C34" s="131"/>
      <c r="D34" s="131"/>
      <c r="E34" s="131"/>
      <c r="F34" s="131"/>
      <c r="G34" s="131"/>
      <c r="H34" s="131"/>
      <c r="I34" s="131"/>
      <c r="J34" s="132"/>
    </row>
    <row r="35" spans="2:10" x14ac:dyDescent="0.3">
      <c r="B35" s="128" t="s">
        <v>178</v>
      </c>
      <c r="J35" s="133"/>
    </row>
    <row r="36" spans="2:10" x14ac:dyDescent="0.3">
      <c r="B36" s="128" t="s">
        <v>179</v>
      </c>
      <c r="J36" s="133"/>
    </row>
    <row r="37" spans="2:10" x14ac:dyDescent="0.3">
      <c r="B37" s="128" t="s">
        <v>180</v>
      </c>
      <c r="J37" s="133"/>
    </row>
    <row r="38" spans="2:10" x14ac:dyDescent="0.3">
      <c r="B38" s="128" t="s">
        <v>181</v>
      </c>
      <c r="J38" s="133"/>
    </row>
    <row r="39" spans="2:10" x14ac:dyDescent="0.3">
      <c r="B39" s="129" t="s">
        <v>172</v>
      </c>
      <c r="C39" s="134"/>
      <c r="D39" s="134"/>
      <c r="E39" s="134"/>
      <c r="F39" s="134"/>
      <c r="G39" s="134"/>
      <c r="H39" s="134"/>
      <c r="I39" s="134"/>
      <c r="J39" s="135"/>
    </row>
    <row r="41" spans="2:10" ht="18" x14ac:dyDescent="0.35">
      <c r="B41" s="126" t="s">
        <v>163</v>
      </c>
    </row>
    <row r="43" spans="2:10" x14ac:dyDescent="0.3">
      <c r="B43" t="s">
        <v>122</v>
      </c>
    </row>
    <row r="44" spans="2:10" x14ac:dyDescent="0.3">
      <c r="B44" s="125"/>
    </row>
    <row r="45" spans="2:10" x14ac:dyDescent="0.3">
      <c r="B45" s="125" t="s">
        <v>127</v>
      </c>
    </row>
    <row r="46" spans="2:10" x14ac:dyDescent="0.3">
      <c r="B46" s="125" t="s">
        <v>128</v>
      </c>
    </row>
    <row r="47" spans="2:10" x14ac:dyDescent="0.3">
      <c r="B47" s="125"/>
    </row>
    <row r="48" spans="2:10" x14ac:dyDescent="0.3">
      <c r="B48" s="125" t="s">
        <v>129</v>
      </c>
    </row>
    <row r="49" spans="2:15" x14ac:dyDescent="0.3">
      <c r="B49" s="125" t="s">
        <v>130</v>
      </c>
    </row>
    <row r="51" spans="2:15" ht="18" x14ac:dyDescent="0.35">
      <c r="B51" s="126" t="s">
        <v>193</v>
      </c>
    </row>
    <row r="53" spans="2:15" x14ac:dyDescent="0.3">
      <c r="B53" s="130" t="s">
        <v>194</v>
      </c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2"/>
    </row>
    <row r="54" spans="2:15" x14ac:dyDescent="0.3">
      <c r="B54" s="137" t="s">
        <v>195</v>
      </c>
      <c r="O54" s="133"/>
    </row>
    <row r="55" spans="2:15" x14ac:dyDescent="0.3">
      <c r="B55" s="137" t="s">
        <v>196</v>
      </c>
      <c r="O55" s="133"/>
    </row>
    <row r="56" spans="2:15" x14ac:dyDescent="0.3">
      <c r="B56" s="137" t="s">
        <v>197</v>
      </c>
      <c r="O56" s="133"/>
    </row>
    <row r="57" spans="2:15" x14ac:dyDescent="0.3">
      <c r="B57" s="138" t="s">
        <v>198</v>
      </c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5"/>
    </row>
    <row r="59" spans="2:15" ht="18" x14ac:dyDescent="0.35">
      <c r="B59" s="126" t="s">
        <v>167</v>
      </c>
    </row>
    <row r="61" spans="2:15" x14ac:dyDescent="0.3">
      <c r="B61" t="s">
        <v>131</v>
      </c>
    </row>
    <row r="63" spans="2:15" x14ac:dyDescent="0.3">
      <c r="B63" t="s">
        <v>132</v>
      </c>
    </row>
    <row r="64" spans="2:15" x14ac:dyDescent="0.3">
      <c r="B64" t="s">
        <v>133</v>
      </c>
    </row>
    <row r="65" spans="2:2" x14ac:dyDescent="0.3">
      <c r="B65" t="s">
        <v>134</v>
      </c>
    </row>
    <row r="66" spans="2:2" x14ac:dyDescent="0.3">
      <c r="B66" t="s">
        <v>135</v>
      </c>
    </row>
    <row r="68" spans="2:2" ht="18" x14ac:dyDescent="0.35">
      <c r="B68" s="126" t="s">
        <v>164</v>
      </c>
    </row>
    <row r="70" spans="2:2" x14ac:dyDescent="0.3">
      <c r="B70" t="s">
        <v>136</v>
      </c>
    </row>
    <row r="72" spans="2:2" x14ac:dyDescent="0.3">
      <c r="B72" t="s">
        <v>137</v>
      </c>
    </row>
    <row r="74" spans="2:2" x14ac:dyDescent="0.3">
      <c r="B74" t="s">
        <v>138</v>
      </c>
    </row>
    <row r="76" spans="2:2" ht="18" x14ac:dyDescent="0.35">
      <c r="B76" s="126" t="s">
        <v>165</v>
      </c>
    </row>
    <row r="78" spans="2:2" x14ac:dyDescent="0.3">
      <c r="B78" t="s">
        <v>139</v>
      </c>
    </row>
    <row r="80" spans="2:2" x14ac:dyDescent="0.3">
      <c r="B80" t="s">
        <v>140</v>
      </c>
    </row>
    <row r="82" spans="2:2" x14ac:dyDescent="0.3">
      <c r="B82" t="s">
        <v>141</v>
      </c>
    </row>
    <row r="83" spans="2:2" x14ac:dyDescent="0.3">
      <c r="B83" t="s">
        <v>142</v>
      </c>
    </row>
    <row r="85" spans="2:2" x14ac:dyDescent="0.3">
      <c r="B85" t="s">
        <v>143</v>
      </c>
    </row>
    <row r="87" spans="2:2" x14ac:dyDescent="0.3">
      <c r="B87" t="s">
        <v>144</v>
      </c>
    </row>
    <row r="89" spans="2:2" x14ac:dyDescent="0.3">
      <c r="B89" t="s">
        <v>145</v>
      </c>
    </row>
    <row r="90" spans="2:2" x14ac:dyDescent="0.3">
      <c r="B90" t="s">
        <v>146</v>
      </c>
    </row>
    <row r="91" spans="2:2" x14ac:dyDescent="0.3">
      <c r="B91" t="s">
        <v>147</v>
      </c>
    </row>
    <row r="93" spans="2:2" x14ac:dyDescent="0.3">
      <c r="B93" t="s">
        <v>148</v>
      </c>
    </row>
    <row r="95" spans="2:2" x14ac:dyDescent="0.3">
      <c r="B95" t="s">
        <v>149</v>
      </c>
    </row>
    <row r="97" spans="2:2" x14ac:dyDescent="0.3">
      <c r="B97" t="s">
        <v>150</v>
      </c>
    </row>
    <row r="98" spans="2:2" x14ac:dyDescent="0.3">
      <c r="B98" t="s">
        <v>151</v>
      </c>
    </row>
    <row r="100" spans="2:2" ht="18" x14ac:dyDescent="0.35">
      <c r="B100" s="126" t="s">
        <v>166</v>
      </c>
    </row>
    <row r="102" spans="2:2" x14ac:dyDescent="0.3">
      <c r="B102" t="s">
        <v>152</v>
      </c>
    </row>
    <row r="104" spans="2:2" x14ac:dyDescent="0.3">
      <c r="B104" t="s">
        <v>153</v>
      </c>
    </row>
    <row r="105" spans="2:2" x14ac:dyDescent="0.3">
      <c r="B105" t="s">
        <v>154</v>
      </c>
    </row>
    <row r="106" spans="2:2" x14ac:dyDescent="0.3">
      <c r="B106" t="s">
        <v>155</v>
      </c>
    </row>
    <row r="107" spans="2:2" x14ac:dyDescent="0.3">
      <c r="B107" t="s">
        <v>156</v>
      </c>
    </row>
    <row r="109" spans="2:2" x14ac:dyDescent="0.3">
      <c r="B109" t="s">
        <v>157</v>
      </c>
    </row>
    <row r="111" spans="2:2" x14ac:dyDescent="0.3">
      <c r="B111" t="s">
        <v>158</v>
      </c>
    </row>
    <row r="112" spans="2:2" x14ac:dyDescent="0.3">
      <c r="B112" t="s">
        <v>159</v>
      </c>
    </row>
    <row r="114" spans="2:2" ht="18" x14ac:dyDescent="0.35">
      <c r="B114" s="126" t="s">
        <v>160</v>
      </c>
    </row>
    <row r="116" spans="2:2" x14ac:dyDescent="0.3">
      <c r="B116" t="s">
        <v>168</v>
      </c>
    </row>
    <row r="117" spans="2:2" x14ac:dyDescent="0.3">
      <c r="B117" t="s">
        <v>169</v>
      </c>
    </row>
  </sheetData>
  <mergeCells count="1">
    <mergeCell ref="B4:S4"/>
  </mergeCells>
  <pageMargins left="0.7" right="0.7" top="0.75" bottom="0.75" header="0.3" footer="0.3"/>
  <pageSetup scale="37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  <pageSetUpPr autoPageBreaks="0"/>
  </sheetPr>
  <dimension ref="D2:K18"/>
  <sheetViews>
    <sheetView showGridLines="0" view="pageBreakPreview" zoomScaleNormal="100" zoomScaleSheetLayoutView="100" workbookViewId="0">
      <selection activeCell="B13" sqref="B13"/>
    </sheetView>
  </sheetViews>
  <sheetFormatPr defaultRowHeight="14.4" x14ac:dyDescent="0.3"/>
  <cols>
    <col min="4" max="11" width="16.77734375" customWidth="1"/>
  </cols>
  <sheetData>
    <row r="2" spans="4:11" x14ac:dyDescent="0.3">
      <c r="D2" s="5" t="s">
        <v>0</v>
      </c>
      <c r="E2" s="145" t="s">
        <v>201</v>
      </c>
      <c r="F2" s="145"/>
      <c r="G2" s="145"/>
      <c r="H2" s="145"/>
    </row>
    <row r="3" spans="4:11" x14ac:dyDescent="0.3">
      <c r="D3" s="5" t="s">
        <v>1</v>
      </c>
      <c r="E3" s="145" t="s">
        <v>202</v>
      </c>
      <c r="F3" s="145"/>
      <c r="G3" s="145"/>
      <c r="H3" s="145"/>
    </row>
    <row r="4" spans="4:11" x14ac:dyDescent="0.3">
      <c r="D4" s="5" t="s">
        <v>2</v>
      </c>
      <c r="E4" s="149">
        <v>46082</v>
      </c>
      <c r="F4" s="145"/>
      <c r="G4" s="145"/>
      <c r="H4" s="145"/>
    </row>
    <row r="5" spans="4:11" x14ac:dyDescent="0.3">
      <c r="D5" s="5" t="s">
        <v>3</v>
      </c>
      <c r="E5" s="145" t="s">
        <v>203</v>
      </c>
      <c r="F5" s="145"/>
      <c r="G5" s="145"/>
      <c r="H5" s="145"/>
    </row>
    <row r="8" spans="4:11" s="91" customFormat="1" ht="23.4" customHeight="1" x14ac:dyDescent="0.3">
      <c r="D8" s="146" t="s">
        <v>4</v>
      </c>
      <c r="E8" s="146"/>
      <c r="F8" s="146"/>
      <c r="G8" s="146"/>
      <c r="H8" s="146"/>
      <c r="I8" s="146"/>
      <c r="J8" s="146"/>
      <c r="K8" s="146"/>
    </row>
    <row r="10" spans="4:11" x14ac:dyDescent="0.3">
      <c r="D10" s="4" t="s">
        <v>5</v>
      </c>
      <c r="F10" s="4" t="s">
        <v>6</v>
      </c>
    </row>
    <row r="11" spans="4:11" ht="14.4" customHeight="1" x14ac:dyDescent="0.3">
      <c r="D11" s="148">
        <f>'P&amp;L'!O3</f>
        <v>6450000</v>
      </c>
      <c r="F11" s="147">
        <f>'P&amp;L'!O5</f>
        <v>4470338.1488262471</v>
      </c>
    </row>
    <row r="12" spans="4:11" x14ac:dyDescent="0.3">
      <c r="D12" s="148"/>
      <c r="F12" s="147"/>
      <c r="H12" s="4" t="s">
        <v>186</v>
      </c>
      <c r="J12" s="3" t="s">
        <v>10</v>
      </c>
      <c r="K12" s="121">
        <f>'KPI &amp; Ratio Analysis'!C7</f>
        <v>0.6930756819885654</v>
      </c>
    </row>
    <row r="13" spans="4:11" x14ac:dyDescent="0.3">
      <c r="D13" s="148"/>
      <c r="F13" s="147"/>
      <c r="H13" s="142">
        <f>'D2C Metrics'!C4</f>
        <v>8000</v>
      </c>
      <c r="J13" s="3" t="s">
        <v>11</v>
      </c>
      <c r="K13" s="121">
        <f>'KPI &amp; Ratio Analysis'!C8</f>
        <v>0.63853512373566257</v>
      </c>
    </row>
    <row r="14" spans="4:11" x14ac:dyDescent="0.3">
      <c r="H14" s="142"/>
      <c r="J14" s="3" t="s">
        <v>12</v>
      </c>
      <c r="K14" s="141">
        <f>'KPI &amp; Ratio Analysis'!C15</f>
        <v>2.0208333333333335</v>
      </c>
    </row>
    <row r="15" spans="4:11" x14ac:dyDescent="0.3">
      <c r="D15" s="4" t="s">
        <v>7</v>
      </c>
      <c r="F15" s="4" t="s">
        <v>8</v>
      </c>
      <c r="H15" s="142"/>
      <c r="J15" s="3" t="s">
        <v>13</v>
      </c>
      <c r="K15" s="122">
        <f>'KPI &amp; Ratio Analysis'!C12</f>
        <v>152</v>
      </c>
    </row>
    <row r="16" spans="4:11" ht="14.4" customHeight="1" x14ac:dyDescent="0.3">
      <c r="D16" s="144">
        <f>'P&amp;L'!O13</f>
        <v>4118551.5480950237</v>
      </c>
      <c r="F16" s="143">
        <f>CFS!O21</f>
        <v>760000</v>
      </c>
    </row>
    <row r="17" spans="4:6" x14ac:dyDescent="0.3">
      <c r="D17" s="144"/>
      <c r="F17" s="143"/>
    </row>
    <row r="18" spans="4:6" x14ac:dyDescent="0.3">
      <c r="D18" s="144"/>
      <c r="F18" s="143"/>
    </row>
  </sheetData>
  <mergeCells count="10">
    <mergeCell ref="H13:H15"/>
    <mergeCell ref="F16:F18"/>
    <mergeCell ref="D16:D18"/>
    <mergeCell ref="E2:H2"/>
    <mergeCell ref="D8:K8"/>
    <mergeCell ref="F11:F13"/>
    <mergeCell ref="D11:D13"/>
    <mergeCell ref="E5:H5"/>
    <mergeCell ref="E4:H4"/>
    <mergeCell ref="E3:H3"/>
  </mergeCells>
  <pageMargins left="0.7" right="0.7" top="0.75" bottom="0.75" header="0.3" footer="0.3"/>
  <pageSetup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AD7-A7AA-4C8D-B960-F6D10EDCE6B1}">
  <sheetPr>
    <tabColor theme="4" tint="0.79998168889431442"/>
  </sheetPr>
  <dimension ref="B2:I34"/>
  <sheetViews>
    <sheetView showGridLines="0" zoomScaleNormal="100" workbookViewId="0">
      <selection activeCell="C19" sqref="C19"/>
    </sheetView>
  </sheetViews>
  <sheetFormatPr defaultRowHeight="14.4" x14ac:dyDescent="0.3"/>
  <cols>
    <col min="1" max="1" width="1.77734375" customWidth="1"/>
    <col min="2" max="2" width="20.33203125" style="2" bestFit="1" customWidth="1"/>
    <col min="3" max="7" width="20.77734375" style="2" customWidth="1"/>
    <col min="8" max="9" width="20.77734375" customWidth="1"/>
  </cols>
  <sheetData>
    <row r="2" spans="2:9" x14ac:dyDescent="0.3">
      <c r="B2" s="67" t="s">
        <v>88</v>
      </c>
      <c r="C2" s="7">
        <v>5000000</v>
      </c>
    </row>
    <row r="5" spans="2:9" s="1" customFormat="1" x14ac:dyDescent="0.3">
      <c r="B5" s="4" t="s">
        <v>14</v>
      </c>
      <c r="C5" s="4" t="s">
        <v>174</v>
      </c>
      <c r="D5" s="4" t="s">
        <v>175</v>
      </c>
      <c r="E5" s="4" t="s">
        <v>176</v>
      </c>
      <c r="F5" s="4" t="s">
        <v>177</v>
      </c>
      <c r="G5" s="4" t="s">
        <v>170</v>
      </c>
      <c r="H5" s="4" t="s">
        <v>15</v>
      </c>
      <c r="I5" s="4" t="s">
        <v>16</v>
      </c>
    </row>
    <row r="6" spans="2:9" x14ac:dyDescent="0.3">
      <c r="B6" s="6" t="s">
        <v>17</v>
      </c>
      <c r="C6" s="7">
        <v>100000</v>
      </c>
      <c r="D6" s="7">
        <v>90000</v>
      </c>
      <c r="E6" s="7">
        <v>80000</v>
      </c>
      <c r="F6" s="7">
        <v>70000</v>
      </c>
      <c r="G6" s="7">
        <v>60000</v>
      </c>
      <c r="H6" s="9">
        <f t="shared" ref="H6:H17" si="0">SUM(C6:G6)</f>
        <v>400000</v>
      </c>
      <c r="I6" s="6"/>
    </row>
    <row r="7" spans="2:9" x14ac:dyDescent="0.3">
      <c r="B7" s="6" t="s">
        <v>18</v>
      </c>
      <c r="C7" s="7">
        <v>105000</v>
      </c>
      <c r="D7" s="7">
        <v>95000</v>
      </c>
      <c r="E7" s="7">
        <v>85000</v>
      </c>
      <c r="F7" s="7">
        <v>75000</v>
      </c>
      <c r="G7" s="7">
        <v>65000</v>
      </c>
      <c r="H7" s="9">
        <f t="shared" si="0"/>
        <v>425000</v>
      </c>
      <c r="I7" s="8">
        <f>H7/H6-1</f>
        <v>6.25E-2</v>
      </c>
    </row>
    <row r="8" spans="2:9" x14ac:dyDescent="0.3">
      <c r="B8" s="6" t="s">
        <v>19</v>
      </c>
      <c r="C8" s="7">
        <v>110000</v>
      </c>
      <c r="D8" s="7">
        <v>100000</v>
      </c>
      <c r="E8" s="7">
        <v>90000</v>
      </c>
      <c r="F8" s="7">
        <v>80000</v>
      </c>
      <c r="G8" s="7">
        <v>70000</v>
      </c>
      <c r="H8" s="9">
        <f t="shared" si="0"/>
        <v>450000</v>
      </c>
      <c r="I8" s="8">
        <f t="shared" ref="I8:I17" si="1">H8/H7-1</f>
        <v>5.8823529411764719E-2</v>
      </c>
    </row>
    <row r="9" spans="2:9" x14ac:dyDescent="0.3">
      <c r="B9" s="6" t="s">
        <v>20</v>
      </c>
      <c r="C9" s="7">
        <v>115000</v>
      </c>
      <c r="D9" s="7">
        <v>105000</v>
      </c>
      <c r="E9" s="7">
        <v>95000</v>
      </c>
      <c r="F9" s="7">
        <v>85000</v>
      </c>
      <c r="G9" s="7">
        <v>75000</v>
      </c>
      <c r="H9" s="9">
        <f t="shared" si="0"/>
        <v>475000</v>
      </c>
      <c r="I9" s="8">
        <f t="shared" si="1"/>
        <v>5.555555555555558E-2</v>
      </c>
    </row>
    <row r="10" spans="2:9" x14ac:dyDescent="0.3">
      <c r="B10" s="6" t="s">
        <v>21</v>
      </c>
      <c r="C10" s="7">
        <v>120000</v>
      </c>
      <c r="D10" s="7">
        <v>110000</v>
      </c>
      <c r="E10" s="7">
        <v>100000</v>
      </c>
      <c r="F10" s="7">
        <v>90000</v>
      </c>
      <c r="G10" s="7">
        <v>80000</v>
      </c>
      <c r="H10" s="9">
        <f t="shared" si="0"/>
        <v>500000</v>
      </c>
      <c r="I10" s="8">
        <f t="shared" si="1"/>
        <v>5.2631578947368363E-2</v>
      </c>
    </row>
    <row r="11" spans="2:9" x14ac:dyDescent="0.3">
      <c r="B11" s="6" t="s">
        <v>22</v>
      </c>
      <c r="C11" s="7">
        <v>125000</v>
      </c>
      <c r="D11" s="7">
        <v>115000</v>
      </c>
      <c r="E11" s="7">
        <v>105000</v>
      </c>
      <c r="F11" s="7">
        <v>95000</v>
      </c>
      <c r="G11" s="7">
        <v>85000</v>
      </c>
      <c r="H11" s="9">
        <f t="shared" si="0"/>
        <v>525000</v>
      </c>
      <c r="I11" s="8">
        <f t="shared" si="1"/>
        <v>5.0000000000000044E-2</v>
      </c>
    </row>
    <row r="12" spans="2:9" x14ac:dyDescent="0.3">
      <c r="B12" s="6" t="s">
        <v>23</v>
      </c>
      <c r="C12" s="7">
        <v>130000</v>
      </c>
      <c r="D12" s="7">
        <v>120000</v>
      </c>
      <c r="E12" s="7">
        <v>110000</v>
      </c>
      <c r="F12" s="7">
        <v>100000</v>
      </c>
      <c r="G12" s="7">
        <v>90000</v>
      </c>
      <c r="H12" s="9">
        <f t="shared" si="0"/>
        <v>550000</v>
      </c>
      <c r="I12" s="8">
        <f t="shared" si="1"/>
        <v>4.7619047619047672E-2</v>
      </c>
    </row>
    <row r="13" spans="2:9" x14ac:dyDescent="0.3">
      <c r="B13" s="6" t="s">
        <v>24</v>
      </c>
      <c r="C13" s="7">
        <v>135000</v>
      </c>
      <c r="D13" s="7">
        <v>125000</v>
      </c>
      <c r="E13" s="7">
        <v>115000</v>
      </c>
      <c r="F13" s="7">
        <v>105000</v>
      </c>
      <c r="G13" s="7">
        <v>95000</v>
      </c>
      <c r="H13" s="9">
        <f t="shared" si="0"/>
        <v>575000</v>
      </c>
      <c r="I13" s="8">
        <f t="shared" si="1"/>
        <v>4.5454545454545414E-2</v>
      </c>
    </row>
    <row r="14" spans="2:9" x14ac:dyDescent="0.3">
      <c r="B14" s="6" t="s">
        <v>25</v>
      </c>
      <c r="C14" s="7">
        <v>140000</v>
      </c>
      <c r="D14" s="7">
        <v>130000</v>
      </c>
      <c r="E14" s="7">
        <v>120000</v>
      </c>
      <c r="F14" s="7">
        <v>110000</v>
      </c>
      <c r="G14" s="7">
        <v>100000</v>
      </c>
      <c r="H14" s="9">
        <f t="shared" si="0"/>
        <v>600000</v>
      </c>
      <c r="I14" s="8">
        <f t="shared" si="1"/>
        <v>4.3478260869565188E-2</v>
      </c>
    </row>
    <row r="15" spans="2:9" x14ac:dyDescent="0.3">
      <c r="B15" s="6" t="s">
        <v>26</v>
      </c>
      <c r="C15" s="7">
        <v>145000</v>
      </c>
      <c r="D15" s="7">
        <v>135000</v>
      </c>
      <c r="E15" s="7">
        <v>125000</v>
      </c>
      <c r="F15" s="7">
        <v>115000</v>
      </c>
      <c r="G15" s="7">
        <v>105000</v>
      </c>
      <c r="H15" s="9">
        <f t="shared" si="0"/>
        <v>625000</v>
      </c>
      <c r="I15" s="8">
        <f t="shared" si="1"/>
        <v>4.1666666666666741E-2</v>
      </c>
    </row>
    <row r="16" spans="2:9" x14ac:dyDescent="0.3">
      <c r="B16" s="6" t="s">
        <v>27</v>
      </c>
      <c r="C16" s="7">
        <v>150000</v>
      </c>
      <c r="D16" s="7">
        <v>140000</v>
      </c>
      <c r="E16" s="7">
        <v>130000</v>
      </c>
      <c r="F16" s="7">
        <v>120000</v>
      </c>
      <c r="G16" s="7">
        <v>110000</v>
      </c>
      <c r="H16" s="9">
        <f t="shared" si="0"/>
        <v>650000</v>
      </c>
      <c r="I16" s="8">
        <f t="shared" si="1"/>
        <v>4.0000000000000036E-2</v>
      </c>
    </row>
    <row r="17" spans="2:9" x14ac:dyDescent="0.3">
      <c r="B17" s="11" t="s">
        <v>28</v>
      </c>
      <c r="C17" s="7">
        <v>155000</v>
      </c>
      <c r="D17" s="7">
        <v>145000</v>
      </c>
      <c r="E17" s="7">
        <v>135000</v>
      </c>
      <c r="F17" s="7">
        <v>125000</v>
      </c>
      <c r="G17" s="7">
        <v>115000</v>
      </c>
      <c r="H17" s="13">
        <f t="shared" si="0"/>
        <v>675000</v>
      </c>
      <c r="I17" s="14">
        <f t="shared" si="1"/>
        <v>3.8461538461538547E-2</v>
      </c>
    </row>
    <row r="18" spans="2:9" s="1" customFormat="1" ht="15" thickBot="1" x14ac:dyDescent="0.35">
      <c r="B18" s="15" t="s">
        <v>29</v>
      </c>
      <c r="C18" s="127">
        <f>SUM(C6:C17)</f>
        <v>1530000</v>
      </c>
      <c r="D18" s="127">
        <f t="shared" ref="D18:H18" si="2">SUM(D6:D17)</f>
        <v>1410000</v>
      </c>
      <c r="E18" s="127">
        <f t="shared" si="2"/>
        <v>1290000</v>
      </c>
      <c r="F18" s="127">
        <f t="shared" si="2"/>
        <v>1170000</v>
      </c>
      <c r="G18" s="127">
        <f t="shared" si="2"/>
        <v>1050000</v>
      </c>
      <c r="H18" s="127">
        <f t="shared" si="2"/>
        <v>6450000</v>
      </c>
      <c r="I18" s="127"/>
    </row>
    <row r="21" spans="2:9" x14ac:dyDescent="0.3">
      <c r="B21" s="4" t="s">
        <v>14</v>
      </c>
      <c r="C21" s="4" t="s">
        <v>30</v>
      </c>
      <c r="D21" s="4" t="s">
        <v>31</v>
      </c>
      <c r="E21" s="4" t="s">
        <v>32</v>
      </c>
      <c r="F21" s="4" t="s">
        <v>72</v>
      </c>
    </row>
    <row r="22" spans="2:9" x14ac:dyDescent="0.3">
      <c r="B22" s="6" t="s">
        <v>17</v>
      </c>
      <c r="C22" s="7">
        <v>320000</v>
      </c>
      <c r="D22" s="9">
        <f t="shared" ref="D22:D33" si="3">H6</f>
        <v>400000</v>
      </c>
      <c r="E22" s="9">
        <f>D22-C22</f>
        <v>80000</v>
      </c>
      <c r="F22" s="8">
        <f>E22/C22</f>
        <v>0.25</v>
      </c>
    </row>
    <row r="23" spans="2:9" x14ac:dyDescent="0.3">
      <c r="B23" s="6" t="s">
        <v>18</v>
      </c>
      <c r="C23" s="7">
        <v>340000</v>
      </c>
      <c r="D23" s="9">
        <f t="shared" si="3"/>
        <v>425000</v>
      </c>
      <c r="E23" s="9">
        <f t="shared" ref="E23:E33" si="4">D23-C23</f>
        <v>85000</v>
      </c>
      <c r="F23" s="8">
        <f t="shared" ref="F23:F33" si="5">E23/C23</f>
        <v>0.25</v>
      </c>
    </row>
    <row r="24" spans="2:9" x14ac:dyDescent="0.3">
      <c r="B24" s="6" t="s">
        <v>19</v>
      </c>
      <c r="C24" s="7">
        <v>405000</v>
      </c>
      <c r="D24" s="9">
        <f t="shared" si="3"/>
        <v>450000</v>
      </c>
      <c r="E24" s="9">
        <f t="shared" si="4"/>
        <v>45000</v>
      </c>
      <c r="F24" s="8">
        <f t="shared" si="5"/>
        <v>0.1111111111111111</v>
      </c>
    </row>
    <row r="25" spans="2:9" x14ac:dyDescent="0.3">
      <c r="B25" s="6" t="s">
        <v>20</v>
      </c>
      <c r="C25" s="7">
        <v>522500.00000000006</v>
      </c>
      <c r="D25" s="9">
        <f t="shared" si="3"/>
        <v>475000</v>
      </c>
      <c r="E25" s="9">
        <f t="shared" si="4"/>
        <v>-47500.000000000058</v>
      </c>
      <c r="F25" s="8">
        <f t="shared" si="5"/>
        <v>-9.0909090909091009E-2</v>
      </c>
    </row>
    <row r="26" spans="2:9" x14ac:dyDescent="0.3">
      <c r="B26" s="6" t="s">
        <v>21</v>
      </c>
      <c r="C26" s="7">
        <v>550000</v>
      </c>
      <c r="D26" s="9">
        <f t="shared" si="3"/>
        <v>500000</v>
      </c>
      <c r="E26" s="9">
        <f t="shared" si="4"/>
        <v>-50000</v>
      </c>
      <c r="F26" s="8">
        <f t="shared" si="5"/>
        <v>-9.0909090909090912E-2</v>
      </c>
    </row>
    <row r="27" spans="2:9" x14ac:dyDescent="0.3">
      <c r="B27" s="6" t="s">
        <v>22</v>
      </c>
      <c r="C27" s="7">
        <v>630000</v>
      </c>
      <c r="D27" s="9">
        <f t="shared" si="3"/>
        <v>525000</v>
      </c>
      <c r="E27" s="9">
        <f t="shared" si="4"/>
        <v>-105000</v>
      </c>
      <c r="F27" s="8">
        <f t="shared" si="5"/>
        <v>-0.16666666666666666</v>
      </c>
    </row>
    <row r="28" spans="2:9" x14ac:dyDescent="0.3">
      <c r="B28" s="6" t="s">
        <v>23</v>
      </c>
      <c r="C28" s="7">
        <v>550000</v>
      </c>
      <c r="D28" s="9">
        <f t="shared" si="3"/>
        <v>550000</v>
      </c>
      <c r="E28" s="9">
        <f t="shared" si="4"/>
        <v>0</v>
      </c>
      <c r="F28" s="8">
        <f t="shared" si="5"/>
        <v>0</v>
      </c>
    </row>
    <row r="29" spans="2:9" x14ac:dyDescent="0.3">
      <c r="B29" s="6" t="s">
        <v>24</v>
      </c>
      <c r="C29" s="7">
        <v>431250</v>
      </c>
      <c r="D29" s="9">
        <f t="shared" si="3"/>
        <v>575000</v>
      </c>
      <c r="E29" s="9">
        <f t="shared" si="4"/>
        <v>143750</v>
      </c>
      <c r="F29" s="8">
        <f t="shared" si="5"/>
        <v>0.33333333333333331</v>
      </c>
    </row>
    <row r="30" spans="2:9" x14ac:dyDescent="0.3">
      <c r="B30" s="6" t="s">
        <v>25</v>
      </c>
      <c r="C30" s="7">
        <v>420000</v>
      </c>
      <c r="D30" s="9">
        <f t="shared" si="3"/>
        <v>600000</v>
      </c>
      <c r="E30" s="9">
        <f t="shared" si="4"/>
        <v>180000</v>
      </c>
      <c r="F30" s="8">
        <f t="shared" si="5"/>
        <v>0.42857142857142855</v>
      </c>
    </row>
    <row r="31" spans="2:9" x14ac:dyDescent="0.3">
      <c r="B31" s="6" t="s">
        <v>26</v>
      </c>
      <c r="C31" s="7">
        <v>312500</v>
      </c>
      <c r="D31" s="9">
        <f t="shared" si="3"/>
        <v>625000</v>
      </c>
      <c r="E31" s="9">
        <f t="shared" si="4"/>
        <v>312500</v>
      </c>
      <c r="F31" s="8">
        <f t="shared" si="5"/>
        <v>1</v>
      </c>
    </row>
    <row r="32" spans="2:9" x14ac:dyDescent="0.3">
      <c r="B32" s="6" t="s">
        <v>27</v>
      </c>
      <c r="C32" s="7">
        <v>812500</v>
      </c>
      <c r="D32" s="9">
        <f t="shared" si="3"/>
        <v>650000</v>
      </c>
      <c r="E32" s="9">
        <f t="shared" si="4"/>
        <v>-162500</v>
      </c>
      <c r="F32" s="8">
        <f t="shared" si="5"/>
        <v>-0.2</v>
      </c>
    </row>
    <row r="33" spans="2:7" x14ac:dyDescent="0.3">
      <c r="B33" s="11" t="s">
        <v>28</v>
      </c>
      <c r="C33" s="7">
        <v>877500</v>
      </c>
      <c r="D33" s="13">
        <f t="shared" si="3"/>
        <v>675000</v>
      </c>
      <c r="E33" s="13">
        <f t="shared" si="4"/>
        <v>-202500</v>
      </c>
      <c r="F33" s="8">
        <f t="shared" si="5"/>
        <v>-0.23076923076923078</v>
      </c>
    </row>
    <row r="34" spans="2:7" s="1" customFormat="1" ht="15" thickBot="1" x14ac:dyDescent="0.35">
      <c r="B34" s="53" t="s">
        <v>29</v>
      </c>
      <c r="C34" s="18">
        <f>SUM(C22:C33)</f>
        <v>6171250</v>
      </c>
      <c r="D34" s="18">
        <f t="shared" ref="D34:E34" si="6">SUM(D22:D33)</f>
        <v>6450000</v>
      </c>
      <c r="E34" s="18">
        <f t="shared" si="6"/>
        <v>278750</v>
      </c>
      <c r="F34" s="18"/>
      <c r="G34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AEF2-82D9-4EBA-935A-1A84A4B7802B}">
  <sheetPr>
    <tabColor theme="4" tint="0.79998168889431442"/>
  </sheetPr>
  <dimension ref="B2:O43"/>
  <sheetViews>
    <sheetView showGridLines="0" topLeftCell="A13" zoomScaleNormal="100" workbookViewId="0">
      <selection activeCell="C25" sqref="C25:C38"/>
    </sheetView>
  </sheetViews>
  <sheetFormatPr defaultRowHeight="14.4" x14ac:dyDescent="0.3"/>
  <cols>
    <col min="1" max="1" width="1.77734375" customWidth="1"/>
    <col min="2" max="2" width="24.5546875" bestFit="1" customWidth="1"/>
    <col min="3" max="15" width="12.77734375" style="2" customWidth="1"/>
  </cols>
  <sheetData>
    <row r="2" spans="2:15" s="1" customFormat="1" x14ac:dyDescent="0.3">
      <c r="B2" s="16" t="s">
        <v>33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 spans="2:15" x14ac:dyDescent="0.3">
      <c r="B3" s="10" t="s">
        <v>34</v>
      </c>
      <c r="C3" s="7">
        <v>25000</v>
      </c>
      <c r="D3" s="7">
        <v>25624.999999999996</v>
      </c>
      <c r="E3" s="7">
        <v>26265.624999999993</v>
      </c>
      <c r="F3" s="7">
        <v>26922.265624999989</v>
      </c>
      <c r="G3" s="7">
        <v>27595.322265624985</v>
      </c>
      <c r="H3" s="7">
        <v>28285.205322265607</v>
      </c>
      <c r="I3" s="7">
        <v>28992.335455322245</v>
      </c>
      <c r="J3" s="7">
        <v>29717.1438417053</v>
      </c>
      <c r="K3" s="7">
        <v>30460.072437747931</v>
      </c>
      <c r="L3" s="7">
        <v>31221.574248691628</v>
      </c>
      <c r="M3" s="7">
        <v>32002.113604908915</v>
      </c>
      <c r="N3" s="7">
        <v>32802.166445031631</v>
      </c>
      <c r="O3" s="9">
        <f>SUM(C3:N3)</f>
        <v>344888.82424629823</v>
      </c>
    </row>
    <row r="4" spans="2:15" x14ac:dyDescent="0.3">
      <c r="B4" s="10" t="s">
        <v>182</v>
      </c>
      <c r="C4" s="7">
        <v>40000</v>
      </c>
      <c r="D4" s="7">
        <v>41000</v>
      </c>
      <c r="E4" s="7">
        <v>42024.999999999993</v>
      </c>
      <c r="F4" s="7">
        <v>43075.624999999985</v>
      </c>
      <c r="G4" s="7">
        <v>44152.515624999978</v>
      </c>
      <c r="H4" s="7">
        <v>45256.328515624977</v>
      </c>
      <c r="I4" s="7">
        <v>46387.7367285156</v>
      </c>
      <c r="J4" s="7">
        <v>47547.430146728482</v>
      </c>
      <c r="K4" s="7">
        <v>48736.11590039669</v>
      </c>
      <c r="L4" s="7">
        <v>49954.518797906603</v>
      </c>
      <c r="M4" s="7">
        <v>51203.381767854262</v>
      </c>
      <c r="N4" s="7">
        <v>52483.466312050616</v>
      </c>
      <c r="O4" s="9">
        <f>SUM(C4:N4)</f>
        <v>551822.11879407719</v>
      </c>
    </row>
    <row r="5" spans="2:15" x14ac:dyDescent="0.3">
      <c r="B5" s="10" t="s">
        <v>183</v>
      </c>
      <c r="C5" s="7">
        <v>2000</v>
      </c>
      <c r="D5" s="7">
        <v>2050</v>
      </c>
      <c r="E5" s="7">
        <v>2101.25</v>
      </c>
      <c r="F5" s="7">
        <v>2153.78125</v>
      </c>
      <c r="G5" s="7">
        <v>2207.6257812499998</v>
      </c>
      <c r="H5" s="7">
        <v>2262.8164257812496</v>
      </c>
      <c r="I5" s="7">
        <v>2319.3868364257805</v>
      </c>
      <c r="J5" s="7">
        <v>2377.3715073364247</v>
      </c>
      <c r="K5" s="7">
        <v>2436.8057950198349</v>
      </c>
      <c r="L5" s="7">
        <v>2497.7259398953306</v>
      </c>
      <c r="M5" s="7">
        <v>2560.1690883927135</v>
      </c>
      <c r="N5" s="7">
        <v>2624.1733156025311</v>
      </c>
      <c r="O5" s="9">
        <f t="shared" ref="O5:O6" si="0">SUM(C5:N5)</f>
        <v>27591.10593970387</v>
      </c>
    </row>
    <row r="6" spans="2:15" x14ac:dyDescent="0.3">
      <c r="B6" s="10" t="s">
        <v>184</v>
      </c>
      <c r="C6" s="7">
        <v>5000</v>
      </c>
      <c r="D6" s="7">
        <v>5125</v>
      </c>
      <c r="E6" s="7">
        <v>5253.1249999999991</v>
      </c>
      <c r="F6" s="7">
        <v>5384.4531249999982</v>
      </c>
      <c r="G6" s="7">
        <v>5519.0644531249973</v>
      </c>
      <c r="H6" s="7">
        <v>5657.0410644531221</v>
      </c>
      <c r="I6" s="7">
        <v>5798.46709106445</v>
      </c>
      <c r="J6" s="7">
        <v>5943.4287683410603</v>
      </c>
      <c r="K6" s="7">
        <v>6092.0144875495862</v>
      </c>
      <c r="L6" s="7">
        <v>6244.3148497383254</v>
      </c>
      <c r="M6" s="7">
        <v>6400.4227209817827</v>
      </c>
      <c r="N6" s="7">
        <v>6560.433289006327</v>
      </c>
      <c r="O6" s="9">
        <f t="shared" si="0"/>
        <v>68977.764849259649</v>
      </c>
    </row>
    <row r="7" spans="2:15" x14ac:dyDescent="0.3">
      <c r="B7" s="10" t="s">
        <v>35</v>
      </c>
      <c r="C7" s="7">
        <v>10000</v>
      </c>
      <c r="D7" s="7">
        <v>10250</v>
      </c>
      <c r="E7" s="7">
        <v>10506.249999999998</v>
      </c>
      <c r="F7" s="7">
        <v>10768.906249999996</v>
      </c>
      <c r="G7" s="7">
        <v>11038.128906249995</v>
      </c>
      <c r="H7" s="7">
        <v>11314.082128906244</v>
      </c>
      <c r="I7" s="7">
        <v>11596.9341821289</v>
      </c>
      <c r="J7" s="7">
        <v>11886.857536682121</v>
      </c>
      <c r="K7" s="7">
        <v>12184.028975099172</v>
      </c>
      <c r="L7" s="7">
        <v>12488.629699476651</v>
      </c>
      <c r="M7" s="7">
        <v>12800.845441963565</v>
      </c>
      <c r="N7" s="7">
        <v>13120.866578012654</v>
      </c>
      <c r="O7" s="9">
        <f t="shared" ref="O7:O16" si="1">SUM(C7:N7)</f>
        <v>137955.5296985193</v>
      </c>
    </row>
    <row r="8" spans="2:15" x14ac:dyDescent="0.3">
      <c r="B8" s="10" t="s">
        <v>36</v>
      </c>
      <c r="C8" s="7">
        <v>10000</v>
      </c>
      <c r="D8" s="7">
        <v>10250</v>
      </c>
      <c r="E8" s="7">
        <v>10506.249999999998</v>
      </c>
      <c r="F8" s="7">
        <v>10768.906249999996</v>
      </c>
      <c r="G8" s="7">
        <v>11038.128906249995</v>
      </c>
      <c r="H8" s="7">
        <v>11314.082128906244</v>
      </c>
      <c r="I8" s="7">
        <v>11596.9341821289</v>
      </c>
      <c r="J8" s="7">
        <v>11886.857536682121</v>
      </c>
      <c r="K8" s="7">
        <v>12184.028975099172</v>
      </c>
      <c r="L8" s="7">
        <v>12488.629699476651</v>
      </c>
      <c r="M8" s="7">
        <v>12800.845441963565</v>
      </c>
      <c r="N8" s="7">
        <v>13120.866578012654</v>
      </c>
      <c r="O8" s="9">
        <f t="shared" si="1"/>
        <v>137955.5296985193</v>
      </c>
    </row>
    <row r="9" spans="2:15" x14ac:dyDescent="0.3">
      <c r="B9" s="10" t="s">
        <v>37</v>
      </c>
      <c r="C9" s="7">
        <v>5000</v>
      </c>
      <c r="D9" s="7">
        <v>5125</v>
      </c>
      <c r="E9" s="7">
        <v>5253.1249999999991</v>
      </c>
      <c r="F9" s="7">
        <v>5384.4531249999982</v>
      </c>
      <c r="G9" s="7">
        <v>5519.0644531249973</v>
      </c>
      <c r="H9" s="7">
        <v>5657.0410644531221</v>
      </c>
      <c r="I9" s="7">
        <v>5798.46709106445</v>
      </c>
      <c r="J9" s="7">
        <v>5943.4287683410603</v>
      </c>
      <c r="K9" s="7">
        <v>6092.0144875495862</v>
      </c>
      <c r="L9" s="7">
        <v>6244.3148497383254</v>
      </c>
      <c r="M9" s="7">
        <v>6400.4227209817827</v>
      </c>
      <c r="N9" s="7">
        <v>6560.433289006327</v>
      </c>
      <c r="O9" s="9">
        <f t="shared" si="1"/>
        <v>68977.764849259649</v>
      </c>
    </row>
    <row r="10" spans="2:15" x14ac:dyDescent="0.3">
      <c r="B10" s="10" t="s">
        <v>38</v>
      </c>
      <c r="C10" s="7">
        <v>3000</v>
      </c>
      <c r="D10" s="7">
        <v>3074.9999999999995</v>
      </c>
      <c r="E10" s="7">
        <v>3151.8749999999991</v>
      </c>
      <c r="F10" s="7">
        <v>3230.6718749999986</v>
      </c>
      <c r="G10" s="7">
        <v>3311.4386718749984</v>
      </c>
      <c r="H10" s="7">
        <v>3394.224638671873</v>
      </c>
      <c r="I10" s="7">
        <v>3479.0802546386694</v>
      </c>
      <c r="J10" s="7">
        <v>3566.0572610046361</v>
      </c>
      <c r="K10" s="7">
        <v>3655.2086925297517</v>
      </c>
      <c r="L10" s="7">
        <v>3746.5889098429952</v>
      </c>
      <c r="M10" s="7">
        <v>3840.2536325890696</v>
      </c>
      <c r="N10" s="7">
        <v>3936.2599734037958</v>
      </c>
      <c r="O10" s="9">
        <f t="shared" si="1"/>
        <v>41386.658909555787</v>
      </c>
    </row>
    <row r="11" spans="2:15" x14ac:dyDescent="0.3">
      <c r="B11" s="10" t="s">
        <v>39</v>
      </c>
      <c r="C11" s="7">
        <v>1000</v>
      </c>
      <c r="D11" s="7">
        <v>1025</v>
      </c>
      <c r="E11" s="7">
        <v>1050.625</v>
      </c>
      <c r="F11" s="7">
        <v>1076.890625</v>
      </c>
      <c r="G11" s="7">
        <v>1103.8128906249999</v>
      </c>
      <c r="H11" s="7">
        <v>1131.4082128906248</v>
      </c>
      <c r="I11" s="7">
        <v>1159.6934182128903</v>
      </c>
      <c r="J11" s="7">
        <v>1188.6857536682123</v>
      </c>
      <c r="K11" s="7">
        <v>1218.4028975099175</v>
      </c>
      <c r="L11" s="7">
        <v>1248.8629699476653</v>
      </c>
      <c r="M11" s="7">
        <v>1280.0845441963568</v>
      </c>
      <c r="N11" s="7">
        <v>1312.0866578012656</v>
      </c>
      <c r="O11" s="9">
        <f t="shared" si="1"/>
        <v>13795.552969851935</v>
      </c>
    </row>
    <row r="12" spans="2:15" x14ac:dyDescent="0.3">
      <c r="B12" s="10" t="s">
        <v>40</v>
      </c>
      <c r="C12" s="7">
        <v>5000</v>
      </c>
      <c r="D12" s="7">
        <v>5125</v>
      </c>
      <c r="E12" s="7">
        <v>5253.1249999999991</v>
      </c>
      <c r="F12" s="7">
        <v>5384.4531249999982</v>
      </c>
      <c r="G12" s="7">
        <v>5519.0644531249973</v>
      </c>
      <c r="H12" s="7">
        <v>5657.0410644531221</v>
      </c>
      <c r="I12" s="7">
        <v>5798.46709106445</v>
      </c>
      <c r="J12" s="7">
        <v>5943.4287683410603</v>
      </c>
      <c r="K12" s="7">
        <v>6092.0144875495862</v>
      </c>
      <c r="L12" s="7">
        <v>6244.3148497383254</v>
      </c>
      <c r="M12" s="7">
        <v>6400.4227209817827</v>
      </c>
      <c r="N12" s="7">
        <v>6560.433289006327</v>
      </c>
      <c r="O12" s="9">
        <f t="shared" si="1"/>
        <v>68977.764849259649</v>
      </c>
    </row>
    <row r="13" spans="2:15" x14ac:dyDescent="0.3">
      <c r="B13" s="10" t="s">
        <v>41</v>
      </c>
      <c r="C13" s="7">
        <v>3000</v>
      </c>
      <c r="D13" s="7">
        <v>3074.9999999999995</v>
      </c>
      <c r="E13" s="7">
        <v>3151.8749999999991</v>
      </c>
      <c r="F13" s="7">
        <v>3230.6718749999986</v>
      </c>
      <c r="G13" s="7">
        <v>3311.4386718749984</v>
      </c>
      <c r="H13" s="7">
        <v>3394.224638671873</v>
      </c>
      <c r="I13" s="7">
        <v>3479.0802546386694</v>
      </c>
      <c r="J13" s="7">
        <v>3566.0572610046361</v>
      </c>
      <c r="K13" s="7">
        <v>3655.2086925297517</v>
      </c>
      <c r="L13" s="7">
        <v>3746.5889098429952</v>
      </c>
      <c r="M13" s="7">
        <v>3840.2536325890696</v>
      </c>
      <c r="N13" s="7">
        <v>3936.2599734037958</v>
      </c>
      <c r="O13" s="9">
        <f t="shared" si="1"/>
        <v>41386.658909555787</v>
      </c>
    </row>
    <row r="14" spans="2:15" x14ac:dyDescent="0.3">
      <c r="B14" s="10" t="s">
        <v>42</v>
      </c>
      <c r="C14" s="7">
        <v>5000</v>
      </c>
      <c r="D14" s="7">
        <v>5125</v>
      </c>
      <c r="E14" s="7">
        <v>5253.1249999999991</v>
      </c>
      <c r="F14" s="7">
        <v>5384.4531249999982</v>
      </c>
      <c r="G14" s="7">
        <v>5519.0644531249973</v>
      </c>
      <c r="H14" s="7">
        <v>5657.0410644531221</v>
      </c>
      <c r="I14" s="7">
        <v>5798.46709106445</v>
      </c>
      <c r="J14" s="7">
        <v>5943.4287683410603</v>
      </c>
      <c r="K14" s="7">
        <v>6092.0144875495862</v>
      </c>
      <c r="L14" s="7">
        <v>6244.3148497383254</v>
      </c>
      <c r="M14" s="7">
        <v>6400.4227209817827</v>
      </c>
      <c r="N14" s="7">
        <v>6560.433289006327</v>
      </c>
      <c r="O14" s="9">
        <f t="shared" si="1"/>
        <v>68977.764849259649</v>
      </c>
    </row>
    <row r="15" spans="2:15" x14ac:dyDescent="0.3">
      <c r="B15" s="10" t="s">
        <v>43</v>
      </c>
      <c r="C15" s="7">
        <v>2000</v>
      </c>
      <c r="D15" s="7">
        <v>2050</v>
      </c>
      <c r="E15" s="7">
        <v>2101.25</v>
      </c>
      <c r="F15" s="7">
        <v>2153.78125</v>
      </c>
      <c r="G15" s="7">
        <v>2207.6257812499998</v>
      </c>
      <c r="H15" s="7">
        <v>2262.8164257812496</v>
      </c>
      <c r="I15" s="7">
        <v>2319.3868364257805</v>
      </c>
      <c r="J15" s="7">
        <v>2377.3715073364247</v>
      </c>
      <c r="K15" s="7">
        <v>2436.8057950198349</v>
      </c>
      <c r="L15" s="7">
        <v>2497.7259398953306</v>
      </c>
      <c r="M15" s="7">
        <v>2560.1690883927135</v>
      </c>
      <c r="N15" s="7">
        <v>2624.1733156025311</v>
      </c>
      <c r="O15" s="9">
        <f t="shared" si="1"/>
        <v>27591.10593970387</v>
      </c>
    </row>
    <row r="16" spans="2:15" x14ac:dyDescent="0.3">
      <c r="B16" s="10" t="s">
        <v>44</v>
      </c>
      <c r="C16" s="7">
        <v>2000</v>
      </c>
      <c r="D16" s="7">
        <v>2050</v>
      </c>
      <c r="E16" s="7">
        <v>2101.25</v>
      </c>
      <c r="F16" s="7">
        <v>2153.78125</v>
      </c>
      <c r="G16" s="7">
        <v>2207.6257812499998</v>
      </c>
      <c r="H16" s="7">
        <v>2262.8164257812496</v>
      </c>
      <c r="I16" s="7">
        <v>2319.3868364257805</v>
      </c>
      <c r="J16" s="7">
        <v>2377.3715073364247</v>
      </c>
      <c r="K16" s="7">
        <v>2436.8057950198349</v>
      </c>
      <c r="L16" s="7">
        <v>2497.7259398953306</v>
      </c>
      <c r="M16" s="7">
        <v>2560.1690883927135</v>
      </c>
      <c r="N16" s="7">
        <v>2624.1733156025311</v>
      </c>
      <c r="O16" s="9">
        <f t="shared" si="1"/>
        <v>27591.10593970387</v>
      </c>
    </row>
    <row r="17" spans="2:15" x14ac:dyDescent="0.3">
      <c r="B17" s="10" t="s">
        <v>45</v>
      </c>
      <c r="C17" s="7">
        <v>5000</v>
      </c>
      <c r="D17" s="7">
        <v>5125</v>
      </c>
      <c r="E17" s="7">
        <v>5253.1249999999991</v>
      </c>
      <c r="F17" s="7">
        <v>5384.4531249999982</v>
      </c>
      <c r="G17" s="7">
        <v>5519.0644531249973</v>
      </c>
      <c r="H17" s="7">
        <v>5657.0410644531221</v>
      </c>
      <c r="I17" s="7">
        <v>5798.46709106445</v>
      </c>
      <c r="J17" s="7">
        <v>5943.4287683410603</v>
      </c>
      <c r="K17" s="7">
        <v>6092.0144875495862</v>
      </c>
      <c r="L17" s="7">
        <v>6244.3148497383254</v>
      </c>
      <c r="M17" s="7">
        <v>6400.4227209817827</v>
      </c>
      <c r="N17" s="7">
        <v>6560.433289006327</v>
      </c>
      <c r="O17" s="9">
        <f t="shared" ref="O17:O18" si="2">SUM(C17:N17)</f>
        <v>68977.764849259649</v>
      </c>
    </row>
    <row r="18" spans="2:15" x14ac:dyDescent="0.3">
      <c r="B18" s="10" t="s">
        <v>46</v>
      </c>
      <c r="C18" s="7">
        <v>500</v>
      </c>
      <c r="D18" s="7">
        <v>512.5</v>
      </c>
      <c r="E18" s="7">
        <v>525.3125</v>
      </c>
      <c r="F18" s="7">
        <v>538.4453125</v>
      </c>
      <c r="G18" s="7">
        <v>551.90644531249995</v>
      </c>
      <c r="H18" s="7">
        <v>565.70410644531239</v>
      </c>
      <c r="I18" s="7">
        <v>579.84670910644513</v>
      </c>
      <c r="J18" s="7">
        <v>594.34287683410616</v>
      </c>
      <c r="K18" s="7">
        <v>609.20144875495873</v>
      </c>
      <c r="L18" s="7">
        <v>624.43148497383265</v>
      </c>
      <c r="M18" s="7">
        <v>640.04227209817839</v>
      </c>
      <c r="N18" s="7">
        <v>656.04332890063279</v>
      </c>
      <c r="O18" s="9">
        <f t="shared" si="2"/>
        <v>6897.7764849259675</v>
      </c>
    </row>
    <row r="19" spans="2:15" x14ac:dyDescent="0.3">
      <c r="B19" s="10" t="s">
        <v>47</v>
      </c>
      <c r="C19" s="7">
        <v>10000</v>
      </c>
      <c r="D19" s="7">
        <v>10250</v>
      </c>
      <c r="E19" s="7">
        <v>10506.249999999998</v>
      </c>
      <c r="F19" s="7">
        <v>10768.906249999996</v>
      </c>
      <c r="G19" s="7">
        <v>11038.128906249995</v>
      </c>
      <c r="H19" s="7">
        <v>11314.082128906244</v>
      </c>
      <c r="I19" s="7">
        <v>11596.9341821289</v>
      </c>
      <c r="J19" s="7">
        <v>11886.857536682121</v>
      </c>
      <c r="K19" s="7">
        <v>12184.028975099172</v>
      </c>
      <c r="L19" s="7">
        <v>12488.629699476651</v>
      </c>
      <c r="M19" s="7">
        <v>12800.845441963565</v>
      </c>
      <c r="N19" s="7">
        <v>13120.866578012654</v>
      </c>
      <c r="O19" s="9">
        <f t="shared" ref="O19:O21" si="3">SUM(C19:N19)</f>
        <v>137955.5296985193</v>
      </c>
    </row>
    <row r="20" spans="2:15" x14ac:dyDescent="0.3">
      <c r="B20" s="33" t="s">
        <v>55</v>
      </c>
      <c r="C20" s="34">
        <v>10000</v>
      </c>
      <c r="D20" s="7">
        <v>10250</v>
      </c>
      <c r="E20" s="7">
        <v>10506.249999999998</v>
      </c>
      <c r="F20" s="7">
        <v>10768.906249999996</v>
      </c>
      <c r="G20" s="7">
        <v>11038.128906249995</v>
      </c>
      <c r="H20" s="7">
        <v>11314.082128906244</v>
      </c>
      <c r="I20" s="7">
        <v>11596.9341821289</v>
      </c>
      <c r="J20" s="7">
        <v>11886.857536682121</v>
      </c>
      <c r="K20" s="7">
        <v>12184.028975099172</v>
      </c>
      <c r="L20" s="7">
        <v>12488.629699476651</v>
      </c>
      <c r="M20" s="7">
        <v>12800.845441963565</v>
      </c>
      <c r="N20" s="7">
        <v>13120.866578012654</v>
      </c>
      <c r="O20" s="9">
        <f t="shared" si="3"/>
        <v>137955.5296985193</v>
      </c>
    </row>
    <row r="21" spans="2:15" s="1" customFormat="1" ht="15" thickBot="1" x14ac:dyDescent="0.35">
      <c r="B21" s="17" t="s">
        <v>48</v>
      </c>
      <c r="C21" s="18">
        <f t="shared" ref="C21:N21" si="4">SUM(C3:C20)</f>
        <v>143500</v>
      </c>
      <c r="D21" s="18">
        <f t="shared" si="4"/>
        <v>147087.5</v>
      </c>
      <c r="E21" s="18">
        <f t="shared" si="4"/>
        <v>150764.68749999997</v>
      </c>
      <c r="F21" s="18">
        <f t="shared" si="4"/>
        <v>154533.80468749997</v>
      </c>
      <c r="G21" s="18">
        <f t="shared" si="4"/>
        <v>158397.14980468745</v>
      </c>
      <c r="H21" s="18">
        <f t="shared" si="4"/>
        <v>162357.07854980463</v>
      </c>
      <c r="I21" s="18">
        <f t="shared" si="4"/>
        <v>166416.00551354972</v>
      </c>
      <c r="J21" s="18">
        <f t="shared" si="4"/>
        <v>170576.40565138843</v>
      </c>
      <c r="K21" s="18">
        <f t="shared" si="4"/>
        <v>174840.81579267315</v>
      </c>
      <c r="L21" s="18">
        <f t="shared" si="4"/>
        <v>179211.83618748988</v>
      </c>
      <c r="M21" s="18">
        <f t="shared" si="4"/>
        <v>183692.13209217717</v>
      </c>
      <c r="N21" s="18">
        <f t="shared" si="4"/>
        <v>188284.43539448155</v>
      </c>
      <c r="O21" s="18">
        <f t="shared" si="3"/>
        <v>1979661.851173752</v>
      </c>
    </row>
    <row r="24" spans="2:15" x14ac:dyDescent="0.3">
      <c r="B24" s="16" t="s">
        <v>33</v>
      </c>
      <c r="C24" s="4" t="s">
        <v>49</v>
      </c>
      <c r="D24" s="4" t="s">
        <v>50</v>
      </c>
      <c r="E24" s="4" t="s">
        <v>32</v>
      </c>
      <c r="F24" s="4" t="s">
        <v>72</v>
      </c>
    </row>
    <row r="25" spans="2:15" x14ac:dyDescent="0.3">
      <c r="B25" s="10" t="s">
        <v>34</v>
      </c>
      <c r="C25" s="7">
        <v>310399.94182166841</v>
      </c>
      <c r="D25" s="9">
        <f>O3</f>
        <v>344888.82424629823</v>
      </c>
      <c r="E25" s="9">
        <f>D25-C25</f>
        <v>34488.882424629817</v>
      </c>
      <c r="F25" s="8">
        <f>E25/C25</f>
        <v>0.11111111111111109</v>
      </c>
    </row>
    <row r="26" spans="2:15" x14ac:dyDescent="0.3">
      <c r="B26" s="10" t="s">
        <v>182</v>
      </c>
      <c r="C26" s="7">
        <v>441457.6950352618</v>
      </c>
      <c r="D26" s="9">
        <f>O4</f>
        <v>551822.11879407719</v>
      </c>
      <c r="E26" s="9">
        <f>D26-C26</f>
        <v>110364.42375881539</v>
      </c>
      <c r="F26" s="8">
        <f>E26/C26</f>
        <v>0.24999999999999986</v>
      </c>
    </row>
    <row r="27" spans="2:15" x14ac:dyDescent="0.3">
      <c r="B27" s="10" t="s">
        <v>183</v>
      </c>
      <c r="C27" s="7">
        <v>19313.774157792708</v>
      </c>
      <c r="D27" s="9">
        <f t="shared" ref="D27:D28" si="5">O5</f>
        <v>27591.10593970387</v>
      </c>
      <c r="E27" s="9">
        <f t="shared" ref="E27:E28" si="6">D27-C27</f>
        <v>8277.3317819111617</v>
      </c>
      <c r="F27" s="8">
        <f t="shared" ref="F27:F28" si="7">E27/C27</f>
        <v>0.4285714285714286</v>
      </c>
    </row>
    <row r="28" spans="2:15" x14ac:dyDescent="0.3">
      <c r="B28" s="10" t="s">
        <v>184</v>
      </c>
      <c r="C28" s="7">
        <v>75875.541334185618</v>
      </c>
      <c r="D28" s="9">
        <f t="shared" si="5"/>
        <v>68977.764849259649</v>
      </c>
      <c r="E28" s="9">
        <f t="shared" si="6"/>
        <v>-6897.7764849259693</v>
      </c>
      <c r="F28" s="8">
        <f t="shared" si="7"/>
        <v>-9.0909090909090967E-2</v>
      </c>
    </row>
    <row r="29" spans="2:15" x14ac:dyDescent="0.3">
      <c r="B29" s="10" t="s">
        <v>35</v>
      </c>
      <c r="C29" s="7">
        <v>165546.63563822315</v>
      </c>
      <c r="D29" s="9">
        <f t="shared" ref="D29:D42" si="8">O7</f>
        <v>137955.5296985193</v>
      </c>
      <c r="E29" s="9">
        <f t="shared" ref="E29:E41" si="9">D29-C29</f>
        <v>-27591.105939703848</v>
      </c>
      <c r="F29" s="8">
        <f t="shared" ref="F29:F41" si="10">E29/C29</f>
        <v>-0.1666666666666666</v>
      </c>
    </row>
    <row r="30" spans="2:15" x14ac:dyDescent="0.3">
      <c r="B30" s="10" t="s">
        <v>36</v>
      </c>
      <c r="C30" s="7">
        <v>179342.18860807508</v>
      </c>
      <c r="D30" s="9">
        <f t="shared" si="8"/>
        <v>137955.5296985193</v>
      </c>
      <c r="E30" s="9">
        <f t="shared" si="9"/>
        <v>-41386.658909555787</v>
      </c>
      <c r="F30" s="8">
        <f t="shared" si="10"/>
        <v>-0.23076923076923075</v>
      </c>
    </row>
    <row r="31" spans="2:15" x14ac:dyDescent="0.3">
      <c r="B31" s="10" t="s">
        <v>37</v>
      </c>
      <c r="C31" s="7">
        <v>62079.988364333687</v>
      </c>
      <c r="D31" s="9">
        <f t="shared" si="8"/>
        <v>68977.764849259649</v>
      </c>
      <c r="E31" s="9">
        <f t="shared" si="9"/>
        <v>6897.776484925962</v>
      </c>
      <c r="F31" s="8">
        <f t="shared" si="10"/>
        <v>0.11111111111111106</v>
      </c>
    </row>
    <row r="32" spans="2:15" x14ac:dyDescent="0.3">
      <c r="B32" s="10" t="s">
        <v>38</v>
      </c>
      <c r="C32" s="7">
        <v>33109.327127644632</v>
      </c>
      <c r="D32" s="9">
        <f t="shared" si="8"/>
        <v>41386.658909555787</v>
      </c>
      <c r="E32" s="9">
        <f t="shared" si="9"/>
        <v>8277.3317819111544</v>
      </c>
      <c r="F32" s="8">
        <f t="shared" si="10"/>
        <v>0.24999999999999989</v>
      </c>
    </row>
    <row r="33" spans="2:6" x14ac:dyDescent="0.3">
      <c r="B33" s="10" t="s">
        <v>39</v>
      </c>
      <c r="C33" s="7">
        <v>9656.8870788963541</v>
      </c>
      <c r="D33" s="9">
        <f t="shared" si="8"/>
        <v>13795.552969851935</v>
      </c>
      <c r="E33" s="9">
        <f t="shared" si="9"/>
        <v>4138.6658909555808</v>
      </c>
      <c r="F33" s="8">
        <f t="shared" si="10"/>
        <v>0.4285714285714286</v>
      </c>
    </row>
    <row r="34" spans="2:6" x14ac:dyDescent="0.3">
      <c r="B34" s="10" t="s">
        <v>40</v>
      </c>
      <c r="C34" s="7">
        <v>75875.541334185618</v>
      </c>
      <c r="D34" s="9">
        <f t="shared" si="8"/>
        <v>68977.764849259649</v>
      </c>
      <c r="E34" s="9">
        <f t="shared" si="9"/>
        <v>-6897.7764849259693</v>
      </c>
      <c r="F34" s="8">
        <f t="shared" si="10"/>
        <v>-9.0909090909090967E-2</v>
      </c>
    </row>
    <row r="35" spans="2:6" x14ac:dyDescent="0.3">
      <c r="B35" s="10" t="s">
        <v>41</v>
      </c>
      <c r="C35" s="7">
        <v>49663.990691466941</v>
      </c>
      <c r="D35" s="9">
        <f t="shared" si="8"/>
        <v>41386.658909555787</v>
      </c>
      <c r="E35" s="9">
        <f t="shared" si="9"/>
        <v>-8277.3317819111544</v>
      </c>
      <c r="F35" s="8">
        <f t="shared" si="10"/>
        <v>-0.16666666666666663</v>
      </c>
    </row>
    <row r="36" spans="2:6" x14ac:dyDescent="0.3">
      <c r="B36" s="10" t="s">
        <v>42</v>
      </c>
      <c r="C36" s="7">
        <v>89671.094304037542</v>
      </c>
      <c r="D36" s="9">
        <f t="shared" si="8"/>
        <v>68977.764849259649</v>
      </c>
      <c r="E36" s="9">
        <f t="shared" si="9"/>
        <v>-20693.329454777893</v>
      </c>
      <c r="F36" s="8">
        <f t="shared" si="10"/>
        <v>-0.23076923076923075</v>
      </c>
    </row>
    <row r="37" spans="2:6" x14ac:dyDescent="0.3">
      <c r="B37" s="10" t="s">
        <v>43</v>
      </c>
      <c r="C37" s="7">
        <v>24831.995345733485</v>
      </c>
      <c r="D37" s="9">
        <f t="shared" si="8"/>
        <v>27591.10593970387</v>
      </c>
      <c r="E37" s="9">
        <f t="shared" si="9"/>
        <v>2759.1105939703848</v>
      </c>
      <c r="F37" s="8">
        <f t="shared" si="10"/>
        <v>0.11111111111111101</v>
      </c>
    </row>
    <row r="38" spans="2:6" x14ac:dyDescent="0.3">
      <c r="B38" s="10" t="s">
        <v>44</v>
      </c>
      <c r="C38" s="7">
        <v>24831.995345733485</v>
      </c>
      <c r="D38" s="9">
        <f t="shared" si="8"/>
        <v>27591.10593970387</v>
      </c>
      <c r="E38" s="9">
        <f t="shared" si="9"/>
        <v>2759.1105939703848</v>
      </c>
      <c r="F38" s="8">
        <f t="shared" si="10"/>
        <v>0.11111111111111101</v>
      </c>
    </row>
    <row r="39" spans="2:6" x14ac:dyDescent="0.3">
      <c r="B39" s="10" t="s">
        <v>45</v>
      </c>
      <c r="C39" s="7">
        <v>62079.988364333687</v>
      </c>
      <c r="D39" s="9">
        <f t="shared" si="8"/>
        <v>68977.764849259649</v>
      </c>
      <c r="E39" s="9">
        <f t="shared" si="9"/>
        <v>6897.776484925962</v>
      </c>
      <c r="F39" s="8">
        <f t="shared" si="10"/>
        <v>0.11111111111111106</v>
      </c>
    </row>
    <row r="40" spans="2:6" x14ac:dyDescent="0.3">
      <c r="B40" s="10" t="s">
        <v>46</v>
      </c>
      <c r="C40" s="7">
        <v>6207.9988364333713</v>
      </c>
      <c r="D40" s="9">
        <f t="shared" si="8"/>
        <v>6897.7764849259675</v>
      </c>
      <c r="E40" s="9">
        <f t="shared" si="9"/>
        <v>689.7776484925962</v>
      </c>
      <c r="F40" s="8">
        <f t="shared" si="10"/>
        <v>0.11111111111111101</v>
      </c>
    </row>
    <row r="41" spans="2:6" x14ac:dyDescent="0.3">
      <c r="B41" s="10" t="s">
        <v>47</v>
      </c>
      <c r="C41" s="7">
        <v>124159.97672866737</v>
      </c>
      <c r="D41" s="9">
        <f t="shared" si="8"/>
        <v>137955.5296985193</v>
      </c>
      <c r="E41" s="9">
        <f t="shared" si="9"/>
        <v>13795.552969851924</v>
      </c>
      <c r="F41" s="8">
        <f t="shared" si="10"/>
        <v>0.11111111111111106</v>
      </c>
    </row>
    <row r="42" spans="2:6" x14ac:dyDescent="0.3">
      <c r="B42" s="33" t="s">
        <v>55</v>
      </c>
      <c r="C42" s="7">
        <v>124159.97672866737</v>
      </c>
      <c r="D42" s="9">
        <f t="shared" si="8"/>
        <v>137955.5296985193</v>
      </c>
      <c r="E42" s="9">
        <f t="shared" ref="E42" si="11">D42-C42</f>
        <v>13795.552969851924</v>
      </c>
      <c r="F42" s="8">
        <f t="shared" ref="F42" si="12">E42/C42</f>
        <v>0.11111111111111106</v>
      </c>
    </row>
    <row r="43" spans="2:6" ht="15" thickBot="1" x14ac:dyDescent="0.35">
      <c r="B43" s="59" t="s">
        <v>29</v>
      </c>
      <c r="C43" s="18">
        <f>SUM(C25:C42)</f>
        <v>1878264.5368453402</v>
      </c>
      <c r="D43" s="18">
        <f>SUM(D25:D42)</f>
        <v>1979661.851173752</v>
      </c>
      <c r="E43" s="18">
        <f>SUM(E25:E42)</f>
        <v>101397.31432841165</v>
      </c>
      <c r="F43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0046-C025-4886-9F6C-0FF201D97363}">
  <sheetPr>
    <tabColor theme="4" tint="0.79998168889431442"/>
  </sheetPr>
  <dimension ref="B2:C13"/>
  <sheetViews>
    <sheetView showGridLines="0" zoomScale="115" zoomScaleNormal="115" workbookViewId="0">
      <selection activeCell="C13" sqref="C13"/>
    </sheetView>
  </sheetViews>
  <sheetFormatPr defaultRowHeight="14.4" x14ac:dyDescent="0.3"/>
  <cols>
    <col min="1" max="1" width="1.77734375" customWidth="1"/>
    <col min="2" max="2" width="31.6640625" customWidth="1"/>
    <col min="3" max="3" width="16.77734375" style="2" customWidth="1"/>
  </cols>
  <sheetData>
    <row r="2" spans="2:3" x14ac:dyDescent="0.3">
      <c r="B2" s="73" t="s">
        <v>51</v>
      </c>
      <c r="C2" s="4" t="s">
        <v>80</v>
      </c>
    </row>
    <row r="3" spans="2:3" x14ac:dyDescent="0.3">
      <c r="B3" s="69" t="s">
        <v>185</v>
      </c>
      <c r="C3" s="7">
        <v>12000</v>
      </c>
    </row>
    <row r="4" spans="2:3" x14ac:dyDescent="0.3">
      <c r="B4" s="69" t="s">
        <v>186</v>
      </c>
      <c r="C4" s="7">
        <v>8000</v>
      </c>
    </row>
    <row r="5" spans="2:3" x14ac:dyDescent="0.3">
      <c r="B5" s="69" t="s">
        <v>187</v>
      </c>
      <c r="C5" s="7">
        <v>600</v>
      </c>
    </row>
    <row r="6" spans="2:3" x14ac:dyDescent="0.3">
      <c r="B6" s="69" t="s">
        <v>188</v>
      </c>
      <c r="C6" s="136">
        <f>'Expense MIS'!$O$8</f>
        <v>137955.5296985193</v>
      </c>
    </row>
    <row r="9" spans="2:3" x14ac:dyDescent="0.3">
      <c r="B9" s="73" t="s">
        <v>51</v>
      </c>
      <c r="C9" s="4" t="s">
        <v>80</v>
      </c>
    </row>
    <row r="10" spans="2:3" x14ac:dyDescent="0.3">
      <c r="B10" s="69" t="s">
        <v>189</v>
      </c>
      <c r="C10" s="136">
        <f>'Revenue MIS'!H18/'D2C Metrics'!C3</f>
        <v>537.5</v>
      </c>
    </row>
    <row r="11" spans="2:3" x14ac:dyDescent="0.3">
      <c r="B11" s="69" t="s">
        <v>190</v>
      </c>
      <c r="C11" s="136">
        <f>'Expense MIS'!O8/'D2C Metrics'!C4</f>
        <v>17.244441212314911</v>
      </c>
    </row>
    <row r="12" spans="2:3" x14ac:dyDescent="0.3">
      <c r="B12" s="69" t="s">
        <v>191</v>
      </c>
      <c r="C12" s="8">
        <f>C5/C3</f>
        <v>0.05</v>
      </c>
    </row>
    <row r="13" spans="2:3" x14ac:dyDescent="0.3">
      <c r="B13" s="69" t="s">
        <v>192</v>
      </c>
      <c r="C13" s="136">
        <f>'Revenue MIS'!H18/'D2C Metrics'!C4</f>
        <v>806.25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FD99-73B3-4ECF-8236-C748E25F7874}">
  <sheetPr>
    <tabColor theme="4" tint="0.79998168889431442"/>
  </sheetPr>
  <dimension ref="B1:O14"/>
  <sheetViews>
    <sheetView showGridLines="0" zoomScaleNormal="100" workbookViewId="0">
      <selection activeCell="D29" sqref="D29"/>
    </sheetView>
  </sheetViews>
  <sheetFormatPr defaultRowHeight="14.4" x14ac:dyDescent="0.3"/>
  <cols>
    <col min="1" max="1" width="1.77734375" customWidth="1"/>
    <col min="2" max="2" width="24.77734375" bestFit="1" customWidth="1"/>
    <col min="3" max="14" width="12.77734375" style="20" customWidth="1"/>
    <col min="15" max="15" width="12.77734375" style="21" customWidth="1"/>
  </cols>
  <sheetData>
    <row r="1" spans="2:15" ht="15" thickBot="1" x14ac:dyDescent="0.35"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32"/>
    </row>
    <row r="2" spans="2:15" s="1" customFormat="1" x14ac:dyDescent="0.3">
      <c r="B2" s="16" t="s">
        <v>51</v>
      </c>
      <c r="C2" s="22" t="s">
        <v>17</v>
      </c>
      <c r="D2" s="22" t="s">
        <v>18</v>
      </c>
      <c r="E2" s="22" t="s">
        <v>19</v>
      </c>
      <c r="F2" s="22" t="s">
        <v>20</v>
      </c>
      <c r="G2" s="22" t="s">
        <v>21</v>
      </c>
      <c r="H2" s="22" t="s">
        <v>22</v>
      </c>
      <c r="I2" s="22" t="s">
        <v>23</v>
      </c>
      <c r="J2" s="22" t="s">
        <v>24</v>
      </c>
      <c r="K2" s="22" t="s">
        <v>25</v>
      </c>
      <c r="L2" s="22" t="s">
        <v>26</v>
      </c>
      <c r="M2" s="22" t="s">
        <v>27</v>
      </c>
      <c r="N2" s="93" t="s">
        <v>28</v>
      </c>
      <c r="O2" s="102" t="s">
        <v>29</v>
      </c>
    </row>
    <row r="3" spans="2:15" x14ac:dyDescent="0.3">
      <c r="B3" s="10" t="s">
        <v>15</v>
      </c>
      <c r="C3" s="29" cm="1">
        <f t="array" ref="C3:N3">TRANSPOSE('Revenue MIS'!H6:H17)</f>
        <v>400000</v>
      </c>
      <c r="D3" s="29">
        <v>425000</v>
      </c>
      <c r="E3" s="29">
        <v>450000</v>
      </c>
      <c r="F3" s="29">
        <v>475000</v>
      </c>
      <c r="G3" s="29">
        <v>500000</v>
      </c>
      <c r="H3" s="29">
        <v>525000</v>
      </c>
      <c r="I3" s="29">
        <v>550000</v>
      </c>
      <c r="J3" s="29">
        <v>575000</v>
      </c>
      <c r="K3" s="29">
        <v>600000</v>
      </c>
      <c r="L3" s="29">
        <v>625000</v>
      </c>
      <c r="M3" s="29">
        <v>650000</v>
      </c>
      <c r="N3" s="94">
        <v>675000</v>
      </c>
      <c r="O3" s="103">
        <f>SUM(C3:N3)</f>
        <v>6450000</v>
      </c>
    </row>
    <row r="4" spans="2:15" x14ac:dyDescent="0.3">
      <c r="B4" s="10" t="s">
        <v>48</v>
      </c>
      <c r="C4" s="29">
        <f>-'Expense MIS'!C21</f>
        <v>-143500</v>
      </c>
      <c r="D4" s="29">
        <f>-'Expense MIS'!D21</f>
        <v>-147087.5</v>
      </c>
      <c r="E4" s="29">
        <f>-'Expense MIS'!E21</f>
        <v>-150764.68749999997</v>
      </c>
      <c r="F4" s="29">
        <f>-'Expense MIS'!F21</f>
        <v>-154533.80468749997</v>
      </c>
      <c r="G4" s="29">
        <f>-'Expense MIS'!G21</f>
        <v>-158397.14980468745</v>
      </c>
      <c r="H4" s="29">
        <f>-'Expense MIS'!H21</f>
        <v>-162357.07854980463</v>
      </c>
      <c r="I4" s="29">
        <f>-'Expense MIS'!I21</f>
        <v>-166416.00551354972</v>
      </c>
      <c r="J4" s="29">
        <f>-'Expense MIS'!J21</f>
        <v>-170576.40565138843</v>
      </c>
      <c r="K4" s="29">
        <f>-'Expense MIS'!K21</f>
        <v>-174840.81579267315</v>
      </c>
      <c r="L4" s="29">
        <f>-'Expense MIS'!L21</f>
        <v>-179211.83618748988</v>
      </c>
      <c r="M4" s="29">
        <f>-'Expense MIS'!M21</f>
        <v>-183692.13209217717</v>
      </c>
      <c r="N4" s="94">
        <f>-'Expense MIS'!N21</f>
        <v>-188284.43539448155</v>
      </c>
      <c r="O4" s="103">
        <f>SUM(C4:N4)</f>
        <v>-1979661.851173752</v>
      </c>
    </row>
    <row r="5" spans="2:15" s="1" customFormat="1" x14ac:dyDescent="0.3">
      <c r="B5" s="25" t="s">
        <v>6</v>
      </c>
      <c r="C5" s="27">
        <f>SUM(C3:C4)</f>
        <v>256500</v>
      </c>
      <c r="D5" s="27">
        <f t="shared" ref="D5:N5" si="0">SUM(D3:D4)</f>
        <v>277912.5</v>
      </c>
      <c r="E5" s="27">
        <f t="shared" si="0"/>
        <v>299235.3125</v>
      </c>
      <c r="F5" s="27">
        <f t="shared" si="0"/>
        <v>320466.1953125</v>
      </c>
      <c r="G5" s="27">
        <f t="shared" si="0"/>
        <v>341602.85019531252</v>
      </c>
      <c r="H5" s="27">
        <f t="shared" si="0"/>
        <v>362642.92145019537</v>
      </c>
      <c r="I5" s="27">
        <f t="shared" si="0"/>
        <v>383583.99448645028</v>
      </c>
      <c r="J5" s="27">
        <f t="shared" si="0"/>
        <v>404423.59434861154</v>
      </c>
      <c r="K5" s="27">
        <f t="shared" si="0"/>
        <v>425159.18420732685</v>
      </c>
      <c r="L5" s="27">
        <f t="shared" si="0"/>
        <v>445788.16381251009</v>
      </c>
      <c r="M5" s="27">
        <f t="shared" si="0"/>
        <v>466307.86790782283</v>
      </c>
      <c r="N5" s="95">
        <f t="shared" si="0"/>
        <v>486715.56460551848</v>
      </c>
      <c r="O5" s="104">
        <f>SUM(C5:N5)</f>
        <v>4470338.1488262471</v>
      </c>
    </row>
    <row r="6" spans="2:15" s="62" customFormat="1" x14ac:dyDescent="0.3">
      <c r="B6" s="64" t="s">
        <v>10</v>
      </c>
      <c r="C6" s="65">
        <f>C5/C3</f>
        <v>0.64124999999999999</v>
      </c>
      <c r="D6" s="65">
        <f t="shared" ref="D6:O6" si="1">D5/D3</f>
        <v>0.6539117647058823</v>
      </c>
      <c r="E6" s="65">
        <f t="shared" si="1"/>
        <v>0.6649673611111111</v>
      </c>
      <c r="F6" s="65">
        <f t="shared" si="1"/>
        <v>0.67466567434210523</v>
      </c>
      <c r="G6" s="65">
        <f t="shared" si="1"/>
        <v>0.683205700390625</v>
      </c>
      <c r="H6" s="65">
        <f t="shared" si="1"/>
        <v>0.69074842180989593</v>
      </c>
      <c r="I6" s="65">
        <f t="shared" si="1"/>
        <v>0.69742544452081867</v>
      </c>
      <c r="J6" s="65">
        <f t="shared" si="1"/>
        <v>0.70334538147584613</v>
      </c>
      <c r="K6" s="65">
        <f t="shared" si="1"/>
        <v>0.70859864034554476</v>
      </c>
      <c r="L6" s="65">
        <f t="shared" si="1"/>
        <v>0.71326106210001616</v>
      </c>
      <c r="M6" s="65">
        <f t="shared" si="1"/>
        <v>0.71739671985818898</v>
      </c>
      <c r="N6" s="96">
        <f t="shared" si="1"/>
        <v>0.72106009571187923</v>
      </c>
      <c r="O6" s="105">
        <f t="shared" si="1"/>
        <v>0.6930756819885654</v>
      </c>
    </row>
    <row r="7" spans="2:15" x14ac:dyDescent="0.3">
      <c r="B7" s="24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97"/>
      <c r="O7" s="106"/>
    </row>
    <row r="8" spans="2:15" x14ac:dyDescent="0.3">
      <c r="B8" s="10" t="s">
        <v>52</v>
      </c>
      <c r="C8" s="29">
        <f>-SUM('Expense MIS'!C$17:C$18)</f>
        <v>-5500</v>
      </c>
      <c r="D8" s="29">
        <f>-SUM('Expense MIS'!D$17:D$18)</f>
        <v>-5637.5</v>
      </c>
      <c r="E8" s="29">
        <f>-SUM('Expense MIS'!E$17:E$18)</f>
        <v>-5778.4374999999991</v>
      </c>
      <c r="F8" s="29">
        <f>-SUM('Expense MIS'!F$17:F$18)</f>
        <v>-5922.8984374999982</v>
      </c>
      <c r="G8" s="29">
        <f>-SUM('Expense MIS'!G$17:G$18)</f>
        <v>-6070.9708984374975</v>
      </c>
      <c r="H8" s="29">
        <f>-SUM('Expense MIS'!H$17:H$18)</f>
        <v>-6222.7451708984345</v>
      </c>
      <c r="I8" s="29">
        <f>-SUM('Expense MIS'!I$17:I$18)</f>
        <v>-6378.3138001708949</v>
      </c>
      <c r="J8" s="29">
        <f>-SUM('Expense MIS'!J$17:J$18)</f>
        <v>-6537.7716451751667</v>
      </c>
      <c r="K8" s="29">
        <f>-SUM('Expense MIS'!K$17:K$18)</f>
        <v>-6701.2159363045448</v>
      </c>
      <c r="L8" s="29">
        <f>-SUM('Expense MIS'!L$17:L$18)</f>
        <v>-6868.7463347121584</v>
      </c>
      <c r="M8" s="29">
        <f>-SUM('Expense MIS'!M$17:M$18)</f>
        <v>-7040.4649930799615</v>
      </c>
      <c r="N8" s="94">
        <f>-SUM('Expense MIS'!N$17:N$18)</f>
        <v>-7216.4766179069593</v>
      </c>
      <c r="O8" s="103">
        <f t="shared" ref="O8:O10" si="2">SUM(C8:N8)</f>
        <v>-75875.541334185618</v>
      </c>
    </row>
    <row r="9" spans="2:15" x14ac:dyDescent="0.3">
      <c r="B9" s="23" t="s">
        <v>47</v>
      </c>
      <c r="C9" s="30">
        <f>-'Expense MIS'!C$19</f>
        <v>-10000</v>
      </c>
      <c r="D9" s="30">
        <f>-'Expense MIS'!D$19</f>
        <v>-10250</v>
      </c>
      <c r="E9" s="30">
        <f>-'Expense MIS'!E$19</f>
        <v>-10506.249999999998</v>
      </c>
      <c r="F9" s="30">
        <f>-'Expense MIS'!F$19</f>
        <v>-10768.906249999996</v>
      </c>
      <c r="G9" s="30">
        <f>-'Expense MIS'!G$19</f>
        <v>-11038.128906249995</v>
      </c>
      <c r="H9" s="30">
        <f>-'Expense MIS'!H$19</f>
        <v>-11314.082128906244</v>
      </c>
      <c r="I9" s="30">
        <f>-'Expense MIS'!I$19</f>
        <v>-11596.9341821289</v>
      </c>
      <c r="J9" s="30">
        <f>-'Expense MIS'!J$19</f>
        <v>-11886.857536682121</v>
      </c>
      <c r="K9" s="30">
        <f>-'Expense MIS'!K$19</f>
        <v>-12184.028975099172</v>
      </c>
      <c r="L9" s="30">
        <f>-'Expense MIS'!L$19</f>
        <v>-12488.629699476651</v>
      </c>
      <c r="M9" s="30">
        <f>-'Expense MIS'!M$19</f>
        <v>-12800.845441963565</v>
      </c>
      <c r="N9" s="98">
        <f>-'Expense MIS'!N$19</f>
        <v>-13120.866578012654</v>
      </c>
      <c r="O9" s="107">
        <f t="shared" si="2"/>
        <v>-137955.5296985193</v>
      </c>
    </row>
    <row r="10" spans="2:15" s="1" customFormat="1" x14ac:dyDescent="0.3">
      <c r="B10" s="25" t="s">
        <v>53</v>
      </c>
      <c r="C10" s="27">
        <f>SUM(C5,C8:C9)</f>
        <v>241000</v>
      </c>
      <c r="D10" s="27">
        <f t="shared" ref="D10:N10" si="3">SUM(D5,D8:D9)</f>
        <v>262025</v>
      </c>
      <c r="E10" s="27">
        <f t="shared" si="3"/>
        <v>282950.625</v>
      </c>
      <c r="F10" s="27">
        <f t="shared" si="3"/>
        <v>303774.390625</v>
      </c>
      <c r="G10" s="27">
        <f t="shared" si="3"/>
        <v>324493.75039062503</v>
      </c>
      <c r="H10" s="27">
        <f t="shared" si="3"/>
        <v>345106.09415039071</v>
      </c>
      <c r="I10" s="27">
        <f t="shared" si="3"/>
        <v>365608.74650415045</v>
      </c>
      <c r="J10" s="27">
        <f t="shared" si="3"/>
        <v>385998.96516675426</v>
      </c>
      <c r="K10" s="27">
        <f t="shared" si="3"/>
        <v>406273.93929592316</v>
      </c>
      <c r="L10" s="27">
        <f t="shared" si="3"/>
        <v>426430.7877783213</v>
      </c>
      <c r="M10" s="27">
        <f t="shared" si="3"/>
        <v>446466.5574727793</v>
      </c>
      <c r="N10" s="95">
        <f t="shared" si="3"/>
        <v>466378.22140959889</v>
      </c>
      <c r="O10" s="104">
        <f t="shared" si="2"/>
        <v>4256507.0777935432</v>
      </c>
    </row>
    <row r="11" spans="2:15" x14ac:dyDescent="0.3">
      <c r="B11" s="24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97"/>
      <c r="O11" s="106"/>
    </row>
    <row r="12" spans="2:15" x14ac:dyDescent="0.3">
      <c r="B12" s="23" t="s">
        <v>54</v>
      </c>
      <c r="C12" s="26">
        <f>-'Expense MIS'!C$20</f>
        <v>-10000</v>
      </c>
      <c r="D12" s="26">
        <f>-'Expense MIS'!D$20</f>
        <v>-10250</v>
      </c>
      <c r="E12" s="26">
        <f>-'Expense MIS'!E$20</f>
        <v>-10506.249999999998</v>
      </c>
      <c r="F12" s="26">
        <f>-'Expense MIS'!F$20</f>
        <v>-10768.906249999996</v>
      </c>
      <c r="G12" s="26">
        <f>-'Expense MIS'!G$20</f>
        <v>-11038.128906249995</v>
      </c>
      <c r="H12" s="26">
        <f>-'Expense MIS'!H$20</f>
        <v>-11314.082128906244</v>
      </c>
      <c r="I12" s="26">
        <f>-'Expense MIS'!I$20</f>
        <v>-11596.9341821289</v>
      </c>
      <c r="J12" s="26">
        <f>-'Expense MIS'!J$20</f>
        <v>-11886.857536682121</v>
      </c>
      <c r="K12" s="26">
        <f>-'Expense MIS'!K$20</f>
        <v>-12184.028975099172</v>
      </c>
      <c r="L12" s="26">
        <f>-'Expense MIS'!L$20</f>
        <v>-12488.629699476651</v>
      </c>
      <c r="M12" s="26">
        <f>-'Expense MIS'!M$20</f>
        <v>-12800.845441963565</v>
      </c>
      <c r="N12" s="99">
        <f>-'Expense MIS'!N$20</f>
        <v>-13120.866578012654</v>
      </c>
      <c r="O12" s="107">
        <f t="shared" ref="O12:O13" si="4">SUM(C12:N12)</f>
        <v>-137955.5296985193</v>
      </c>
    </row>
    <row r="13" spans="2:15" s="1" customFormat="1" ht="15" thickBot="1" x14ac:dyDescent="0.35">
      <c r="B13" s="17" t="s">
        <v>7</v>
      </c>
      <c r="C13" s="31">
        <f>SUM(C10,C12)</f>
        <v>231000</v>
      </c>
      <c r="D13" s="31">
        <f t="shared" ref="D13:N13" si="5">SUM(D10,D12)</f>
        <v>251775</v>
      </c>
      <c r="E13" s="31">
        <f t="shared" si="5"/>
        <v>272444.375</v>
      </c>
      <c r="F13" s="31">
        <f t="shared" si="5"/>
        <v>293005.484375</v>
      </c>
      <c r="G13" s="31">
        <f t="shared" si="5"/>
        <v>313455.62148437503</v>
      </c>
      <c r="H13" s="31">
        <f t="shared" si="5"/>
        <v>333792.01202148444</v>
      </c>
      <c r="I13" s="31">
        <f t="shared" si="5"/>
        <v>354011.81232202152</v>
      </c>
      <c r="J13" s="31">
        <f t="shared" si="5"/>
        <v>374112.10763007216</v>
      </c>
      <c r="K13" s="31">
        <f t="shared" si="5"/>
        <v>394089.91032082401</v>
      </c>
      <c r="L13" s="31">
        <f t="shared" si="5"/>
        <v>413942.15807884466</v>
      </c>
      <c r="M13" s="31">
        <f t="shared" si="5"/>
        <v>433665.71203081572</v>
      </c>
      <c r="N13" s="100">
        <f t="shared" si="5"/>
        <v>453257.35483158624</v>
      </c>
      <c r="O13" s="108">
        <f t="shared" si="4"/>
        <v>4118551.5480950237</v>
      </c>
    </row>
    <row r="14" spans="2:15" s="62" customFormat="1" ht="15" thickBot="1" x14ac:dyDescent="0.35">
      <c r="B14" s="63" t="s">
        <v>11</v>
      </c>
      <c r="C14" s="66">
        <f>C13/C3</f>
        <v>0.57750000000000001</v>
      </c>
      <c r="D14" s="66">
        <f t="shared" ref="D14:O14" si="6">D13/D3</f>
        <v>0.5924117647058823</v>
      </c>
      <c r="E14" s="66">
        <f t="shared" si="6"/>
        <v>0.60543194444444448</v>
      </c>
      <c r="F14" s="66">
        <f t="shared" si="6"/>
        <v>0.61685365131578951</v>
      </c>
      <c r="G14" s="66">
        <f t="shared" si="6"/>
        <v>0.62691124296875012</v>
      </c>
      <c r="H14" s="66">
        <f t="shared" si="6"/>
        <v>0.63579430861235131</v>
      </c>
      <c r="I14" s="66">
        <f t="shared" si="6"/>
        <v>0.64365784058549369</v>
      </c>
      <c r="J14" s="66">
        <f t="shared" si="6"/>
        <v>0.65062975240012555</v>
      </c>
      <c r="K14" s="66">
        <f t="shared" si="6"/>
        <v>0.65681651720137335</v>
      </c>
      <c r="L14" s="66">
        <f t="shared" si="6"/>
        <v>0.66230745292615145</v>
      </c>
      <c r="M14" s="66">
        <f t="shared" si="6"/>
        <v>0.66717801850894731</v>
      </c>
      <c r="N14" s="101">
        <f t="shared" si="6"/>
        <v>0.67149237752827595</v>
      </c>
      <c r="O14" s="109">
        <f t="shared" si="6"/>
        <v>0.63853512373566257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F901-E28D-4704-A9A6-6D99D756AAE8}">
  <sheetPr>
    <tabColor theme="4" tint="0.79998168889431442"/>
  </sheetPr>
  <dimension ref="B1:O21"/>
  <sheetViews>
    <sheetView showGridLines="0" workbookViewId="0">
      <selection activeCell="C19" sqref="C19"/>
    </sheetView>
  </sheetViews>
  <sheetFormatPr defaultRowHeight="14.4" x14ac:dyDescent="0.3"/>
  <cols>
    <col min="1" max="1" width="1.77734375" customWidth="1"/>
    <col min="2" max="2" width="30.77734375" bestFit="1" customWidth="1"/>
    <col min="3" max="15" width="12.77734375" style="2" customWidth="1"/>
  </cols>
  <sheetData>
    <row r="1" spans="2:15" ht="15" thickBot="1" x14ac:dyDescent="0.35"/>
    <row r="2" spans="2:15" x14ac:dyDescent="0.3">
      <c r="B2" s="16" t="s">
        <v>51</v>
      </c>
      <c r="C2" s="22" t="s">
        <v>17</v>
      </c>
      <c r="D2" s="22" t="s">
        <v>18</v>
      </c>
      <c r="E2" s="22" t="s">
        <v>19</v>
      </c>
      <c r="F2" s="22" t="s">
        <v>20</v>
      </c>
      <c r="G2" s="22" t="s">
        <v>21</v>
      </c>
      <c r="H2" s="22" t="s">
        <v>22</v>
      </c>
      <c r="I2" s="22" t="s">
        <v>23</v>
      </c>
      <c r="J2" s="22" t="s">
        <v>24</v>
      </c>
      <c r="K2" s="22" t="s">
        <v>25</v>
      </c>
      <c r="L2" s="22" t="s">
        <v>26</v>
      </c>
      <c r="M2" s="22" t="s">
        <v>27</v>
      </c>
      <c r="N2" s="93" t="s">
        <v>28</v>
      </c>
      <c r="O2" s="102" t="s">
        <v>29</v>
      </c>
    </row>
    <row r="3" spans="2:15" x14ac:dyDescent="0.3">
      <c r="B3" s="10" t="s">
        <v>56</v>
      </c>
      <c r="C3" s="37">
        <v>200000</v>
      </c>
      <c r="D3" s="37">
        <f>C3+5000</f>
        <v>205000</v>
      </c>
      <c r="E3" s="37">
        <f t="shared" ref="E3:N3" si="0">D3+5000</f>
        <v>210000</v>
      </c>
      <c r="F3" s="37">
        <f t="shared" si="0"/>
        <v>215000</v>
      </c>
      <c r="G3" s="37">
        <f t="shared" si="0"/>
        <v>220000</v>
      </c>
      <c r="H3" s="37">
        <f t="shared" si="0"/>
        <v>225000</v>
      </c>
      <c r="I3" s="37">
        <f t="shared" si="0"/>
        <v>230000</v>
      </c>
      <c r="J3" s="37">
        <f t="shared" si="0"/>
        <v>235000</v>
      </c>
      <c r="K3" s="37">
        <f t="shared" si="0"/>
        <v>240000</v>
      </c>
      <c r="L3" s="37">
        <f t="shared" si="0"/>
        <v>245000</v>
      </c>
      <c r="M3" s="37">
        <f t="shared" si="0"/>
        <v>250000</v>
      </c>
      <c r="N3" s="37">
        <f t="shared" si="0"/>
        <v>255000</v>
      </c>
      <c r="O3" s="115">
        <f>SUM(C3:N3)</f>
        <v>2730000</v>
      </c>
    </row>
    <row r="4" spans="2:15" x14ac:dyDescent="0.3">
      <c r="B4" s="10" t="s">
        <v>57</v>
      </c>
      <c r="C4" s="37">
        <v>-100000</v>
      </c>
      <c r="D4" s="37">
        <f>C4-5000</f>
        <v>-105000</v>
      </c>
      <c r="E4" s="37">
        <f t="shared" ref="E4:N4" si="1">D4-5000</f>
        <v>-110000</v>
      </c>
      <c r="F4" s="37">
        <f t="shared" si="1"/>
        <v>-115000</v>
      </c>
      <c r="G4" s="37">
        <f t="shared" si="1"/>
        <v>-120000</v>
      </c>
      <c r="H4" s="37">
        <f t="shared" si="1"/>
        <v>-125000</v>
      </c>
      <c r="I4" s="37">
        <f t="shared" si="1"/>
        <v>-130000</v>
      </c>
      <c r="J4" s="37">
        <f t="shared" si="1"/>
        <v>-135000</v>
      </c>
      <c r="K4" s="37">
        <f t="shared" si="1"/>
        <v>-140000</v>
      </c>
      <c r="L4" s="37">
        <f t="shared" si="1"/>
        <v>-145000</v>
      </c>
      <c r="M4" s="37">
        <f t="shared" si="1"/>
        <v>-150000</v>
      </c>
      <c r="N4" s="37">
        <f t="shared" si="1"/>
        <v>-155000</v>
      </c>
      <c r="O4" s="115">
        <f t="shared" ref="O4:O20" si="2">SUM(C4:N4)</f>
        <v>-1530000</v>
      </c>
    </row>
    <row r="5" spans="2:15" x14ac:dyDescent="0.3">
      <c r="B5" s="10" t="s">
        <v>58</v>
      </c>
      <c r="C5" s="37">
        <v>-10000</v>
      </c>
      <c r="D5" s="37">
        <f t="shared" ref="D5:N6" si="3">C5-5000</f>
        <v>-15000</v>
      </c>
      <c r="E5" s="37">
        <f t="shared" si="3"/>
        <v>-20000</v>
      </c>
      <c r="F5" s="37">
        <f t="shared" si="3"/>
        <v>-25000</v>
      </c>
      <c r="G5" s="37">
        <f t="shared" si="3"/>
        <v>-30000</v>
      </c>
      <c r="H5" s="37">
        <f t="shared" si="3"/>
        <v>-35000</v>
      </c>
      <c r="I5" s="37">
        <f t="shared" si="3"/>
        <v>-40000</v>
      </c>
      <c r="J5" s="37">
        <f t="shared" si="3"/>
        <v>-45000</v>
      </c>
      <c r="K5" s="37">
        <f t="shared" si="3"/>
        <v>-50000</v>
      </c>
      <c r="L5" s="37">
        <f t="shared" si="3"/>
        <v>-55000</v>
      </c>
      <c r="M5" s="37">
        <f t="shared" si="3"/>
        <v>-60000</v>
      </c>
      <c r="N5" s="37">
        <f t="shared" si="3"/>
        <v>-65000</v>
      </c>
      <c r="O5" s="115">
        <f t="shared" si="2"/>
        <v>-450000</v>
      </c>
    </row>
    <row r="6" spans="2:15" x14ac:dyDescent="0.3">
      <c r="B6" s="23" t="s">
        <v>59</v>
      </c>
      <c r="C6" s="38">
        <v>-30000</v>
      </c>
      <c r="D6" s="37">
        <f t="shared" si="3"/>
        <v>-35000</v>
      </c>
      <c r="E6" s="37">
        <f t="shared" si="3"/>
        <v>-40000</v>
      </c>
      <c r="F6" s="37">
        <f t="shared" si="3"/>
        <v>-45000</v>
      </c>
      <c r="G6" s="37">
        <f t="shared" si="3"/>
        <v>-50000</v>
      </c>
      <c r="H6" s="37">
        <f t="shared" si="3"/>
        <v>-55000</v>
      </c>
      <c r="I6" s="37">
        <f t="shared" si="3"/>
        <v>-60000</v>
      </c>
      <c r="J6" s="37">
        <f t="shared" si="3"/>
        <v>-65000</v>
      </c>
      <c r="K6" s="37">
        <f t="shared" si="3"/>
        <v>-70000</v>
      </c>
      <c r="L6" s="37">
        <f t="shared" si="3"/>
        <v>-75000</v>
      </c>
      <c r="M6" s="37">
        <f t="shared" si="3"/>
        <v>-80000</v>
      </c>
      <c r="N6" s="37">
        <f t="shared" si="3"/>
        <v>-85000</v>
      </c>
      <c r="O6" s="115">
        <f t="shared" si="2"/>
        <v>-690000</v>
      </c>
    </row>
    <row r="7" spans="2:15" s="1" customFormat="1" x14ac:dyDescent="0.3">
      <c r="B7" s="35" t="s">
        <v>60</v>
      </c>
      <c r="C7" s="39">
        <f>SUM(C3:C6)</f>
        <v>60000</v>
      </c>
      <c r="D7" s="39">
        <f t="shared" ref="D7:N7" si="4">SUM(D3:D6)</f>
        <v>50000</v>
      </c>
      <c r="E7" s="39">
        <f t="shared" si="4"/>
        <v>40000</v>
      </c>
      <c r="F7" s="39">
        <f t="shared" si="4"/>
        <v>30000</v>
      </c>
      <c r="G7" s="39">
        <f t="shared" si="4"/>
        <v>20000</v>
      </c>
      <c r="H7" s="39">
        <f t="shared" si="4"/>
        <v>10000</v>
      </c>
      <c r="I7" s="39">
        <f t="shared" si="4"/>
        <v>0</v>
      </c>
      <c r="J7" s="39">
        <f t="shared" si="4"/>
        <v>-10000</v>
      </c>
      <c r="K7" s="39">
        <f t="shared" si="4"/>
        <v>-20000</v>
      </c>
      <c r="L7" s="39">
        <f t="shared" si="4"/>
        <v>-30000</v>
      </c>
      <c r="M7" s="39">
        <f t="shared" si="4"/>
        <v>-40000</v>
      </c>
      <c r="N7" s="112">
        <f t="shared" si="4"/>
        <v>-50000</v>
      </c>
      <c r="O7" s="116">
        <f t="shared" si="2"/>
        <v>60000</v>
      </c>
    </row>
    <row r="8" spans="2:15" x14ac:dyDescent="0.3">
      <c r="B8" s="24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113"/>
      <c r="O8" s="117"/>
    </row>
    <row r="9" spans="2:15" x14ac:dyDescent="0.3">
      <c r="B9" s="10" t="s">
        <v>61</v>
      </c>
      <c r="C9" s="37">
        <v>-250000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110"/>
      <c r="O9" s="115">
        <f t="shared" si="2"/>
        <v>-250000</v>
      </c>
    </row>
    <row r="10" spans="2:15" x14ac:dyDescent="0.3">
      <c r="B10" s="23" t="s">
        <v>62</v>
      </c>
      <c r="C10" s="38"/>
      <c r="D10" s="38"/>
      <c r="E10" s="38"/>
      <c r="F10" s="38"/>
      <c r="G10" s="38"/>
      <c r="H10" s="38">
        <v>-100000</v>
      </c>
      <c r="I10" s="38"/>
      <c r="J10" s="38"/>
      <c r="K10" s="38"/>
      <c r="L10" s="38"/>
      <c r="M10" s="38"/>
      <c r="N10" s="111"/>
      <c r="O10" s="118">
        <f t="shared" si="2"/>
        <v>-100000</v>
      </c>
    </row>
    <row r="11" spans="2:15" s="1" customFormat="1" x14ac:dyDescent="0.3">
      <c r="B11" s="35" t="s">
        <v>63</v>
      </c>
      <c r="C11" s="39">
        <f>SUM(C9:C10)</f>
        <v>-250000</v>
      </c>
      <c r="D11" s="39">
        <f t="shared" ref="D11:N11" si="5">SUM(D9:D10)</f>
        <v>0</v>
      </c>
      <c r="E11" s="39">
        <f t="shared" si="5"/>
        <v>0</v>
      </c>
      <c r="F11" s="39">
        <f t="shared" si="5"/>
        <v>0</v>
      </c>
      <c r="G11" s="39">
        <f t="shared" si="5"/>
        <v>0</v>
      </c>
      <c r="H11" s="39">
        <f t="shared" si="5"/>
        <v>-100000</v>
      </c>
      <c r="I11" s="39">
        <f t="shared" si="5"/>
        <v>0</v>
      </c>
      <c r="J11" s="39">
        <f t="shared" si="5"/>
        <v>0</v>
      </c>
      <c r="K11" s="39">
        <f t="shared" si="5"/>
        <v>0</v>
      </c>
      <c r="L11" s="39">
        <f t="shared" si="5"/>
        <v>0</v>
      </c>
      <c r="M11" s="39">
        <f t="shared" si="5"/>
        <v>0</v>
      </c>
      <c r="N11" s="112">
        <f t="shared" si="5"/>
        <v>0</v>
      </c>
      <c r="O11" s="116">
        <f t="shared" si="2"/>
        <v>-350000</v>
      </c>
    </row>
    <row r="12" spans="2:15" x14ac:dyDescent="0.3">
      <c r="B12" s="24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113"/>
      <c r="O12" s="117"/>
    </row>
    <row r="13" spans="2:15" x14ac:dyDescent="0.3">
      <c r="B13" s="10" t="s">
        <v>64</v>
      </c>
      <c r="C13" s="37">
        <v>1000000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110"/>
      <c r="O13" s="115">
        <f t="shared" si="2"/>
        <v>1000000</v>
      </c>
    </row>
    <row r="14" spans="2:15" x14ac:dyDescent="0.3">
      <c r="B14" s="10" t="s">
        <v>65</v>
      </c>
      <c r="C14" s="37">
        <v>500000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110"/>
      <c r="O14" s="115">
        <f t="shared" si="2"/>
        <v>500000</v>
      </c>
    </row>
    <row r="15" spans="2:15" x14ac:dyDescent="0.3">
      <c r="B15" s="10" t="s">
        <v>66</v>
      </c>
      <c r="C15" s="37"/>
      <c r="D15" s="37">
        <v>-100000</v>
      </c>
      <c r="E15" s="37">
        <v>-100000</v>
      </c>
      <c r="F15" s="37">
        <v>-100000</v>
      </c>
      <c r="G15" s="37">
        <v>-100000</v>
      </c>
      <c r="H15" s="37">
        <v>-100000</v>
      </c>
      <c r="I15" s="37"/>
      <c r="J15" s="37"/>
      <c r="K15" s="37"/>
      <c r="L15" s="37"/>
      <c r="M15" s="37"/>
      <c r="N15" s="110"/>
      <c r="O15" s="115">
        <f t="shared" si="2"/>
        <v>-500000</v>
      </c>
    </row>
    <row r="16" spans="2:15" x14ac:dyDescent="0.3">
      <c r="B16" s="23" t="s">
        <v>67</v>
      </c>
      <c r="C16" s="38"/>
      <c r="D16" s="38">
        <v>-10000</v>
      </c>
      <c r="E16" s="38">
        <v>-10000</v>
      </c>
      <c r="F16" s="38">
        <v>-10000</v>
      </c>
      <c r="G16" s="38">
        <v>-10000</v>
      </c>
      <c r="H16" s="38">
        <v>-10000</v>
      </c>
      <c r="I16" s="38"/>
      <c r="J16" s="38"/>
      <c r="K16" s="38"/>
      <c r="L16" s="38"/>
      <c r="M16" s="38"/>
      <c r="N16" s="111"/>
      <c r="O16" s="118">
        <f t="shared" si="2"/>
        <v>-50000</v>
      </c>
    </row>
    <row r="17" spans="2:15" s="1" customFormat="1" x14ac:dyDescent="0.3">
      <c r="B17" s="35" t="s">
        <v>68</v>
      </c>
      <c r="C17" s="39">
        <f>SUM(C13:C16)</f>
        <v>1500000</v>
      </c>
      <c r="D17" s="39">
        <f t="shared" ref="D17:N17" si="6">SUM(D13:D16)</f>
        <v>-110000</v>
      </c>
      <c r="E17" s="39">
        <f t="shared" si="6"/>
        <v>-110000</v>
      </c>
      <c r="F17" s="39">
        <f t="shared" si="6"/>
        <v>-110000</v>
      </c>
      <c r="G17" s="39">
        <f t="shared" si="6"/>
        <v>-110000</v>
      </c>
      <c r="H17" s="39">
        <f t="shared" si="6"/>
        <v>-110000</v>
      </c>
      <c r="I17" s="39">
        <f t="shared" si="6"/>
        <v>0</v>
      </c>
      <c r="J17" s="39">
        <f t="shared" si="6"/>
        <v>0</v>
      </c>
      <c r="K17" s="39">
        <f t="shared" si="6"/>
        <v>0</v>
      </c>
      <c r="L17" s="39">
        <f t="shared" si="6"/>
        <v>0</v>
      </c>
      <c r="M17" s="39">
        <f t="shared" si="6"/>
        <v>0</v>
      </c>
      <c r="N17" s="112">
        <f t="shared" si="6"/>
        <v>0</v>
      </c>
      <c r="O17" s="116">
        <f t="shared" si="2"/>
        <v>950000</v>
      </c>
    </row>
    <row r="18" spans="2:15" x14ac:dyDescent="0.3">
      <c r="B18" s="24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113"/>
      <c r="O18" s="117"/>
    </row>
    <row r="19" spans="2:15" x14ac:dyDescent="0.3">
      <c r="B19" s="23" t="s">
        <v>69</v>
      </c>
      <c r="C19" s="38">
        <v>100000</v>
      </c>
      <c r="D19" s="13">
        <f>C21</f>
        <v>1410000</v>
      </c>
      <c r="E19" s="13">
        <f t="shared" ref="E19:N19" si="7">D21</f>
        <v>1350000</v>
      </c>
      <c r="F19" s="13">
        <f t="shared" si="7"/>
        <v>1280000</v>
      </c>
      <c r="G19" s="13">
        <f t="shared" si="7"/>
        <v>1200000</v>
      </c>
      <c r="H19" s="13">
        <f t="shared" si="7"/>
        <v>1110000</v>
      </c>
      <c r="I19" s="13">
        <f t="shared" si="7"/>
        <v>910000</v>
      </c>
      <c r="J19" s="13">
        <f t="shared" si="7"/>
        <v>910000</v>
      </c>
      <c r="K19" s="13">
        <f t="shared" si="7"/>
        <v>900000</v>
      </c>
      <c r="L19" s="13">
        <f t="shared" si="7"/>
        <v>880000</v>
      </c>
      <c r="M19" s="13">
        <f t="shared" si="7"/>
        <v>850000</v>
      </c>
      <c r="N19" s="92">
        <f t="shared" si="7"/>
        <v>810000</v>
      </c>
      <c r="O19" s="118">
        <f>C19</f>
        <v>100000</v>
      </c>
    </row>
    <row r="20" spans="2:15" s="1" customFormat="1" x14ac:dyDescent="0.3">
      <c r="B20" s="36" t="s">
        <v>70</v>
      </c>
      <c r="C20" s="41">
        <f t="shared" ref="C20:N20" si="8">SUM(C7,C11,C17)</f>
        <v>1310000</v>
      </c>
      <c r="D20" s="41">
        <f t="shared" si="8"/>
        <v>-60000</v>
      </c>
      <c r="E20" s="41">
        <f t="shared" si="8"/>
        <v>-70000</v>
      </c>
      <c r="F20" s="41">
        <f t="shared" si="8"/>
        <v>-80000</v>
      </c>
      <c r="G20" s="41">
        <f t="shared" si="8"/>
        <v>-90000</v>
      </c>
      <c r="H20" s="41">
        <f t="shared" si="8"/>
        <v>-200000</v>
      </c>
      <c r="I20" s="41">
        <f t="shared" si="8"/>
        <v>0</v>
      </c>
      <c r="J20" s="41">
        <f t="shared" si="8"/>
        <v>-10000</v>
      </c>
      <c r="K20" s="41">
        <f t="shared" si="8"/>
        <v>-20000</v>
      </c>
      <c r="L20" s="41">
        <f t="shared" si="8"/>
        <v>-30000</v>
      </c>
      <c r="M20" s="41">
        <f t="shared" si="8"/>
        <v>-40000</v>
      </c>
      <c r="N20" s="114">
        <f t="shared" si="8"/>
        <v>-50000</v>
      </c>
      <c r="O20" s="119">
        <f t="shared" si="2"/>
        <v>660000</v>
      </c>
    </row>
    <row r="21" spans="2:15" ht="15" thickBot="1" x14ac:dyDescent="0.35">
      <c r="B21" s="24" t="s">
        <v>71</v>
      </c>
      <c r="C21" s="40">
        <f>SUM(C19:C20)</f>
        <v>1410000</v>
      </c>
      <c r="D21" s="40">
        <f t="shared" ref="D21:N21" si="9">SUM(D19:D20)</f>
        <v>1350000</v>
      </c>
      <c r="E21" s="40">
        <f t="shared" si="9"/>
        <v>1280000</v>
      </c>
      <c r="F21" s="40">
        <f t="shared" si="9"/>
        <v>1200000</v>
      </c>
      <c r="G21" s="40">
        <f t="shared" si="9"/>
        <v>1110000</v>
      </c>
      <c r="H21" s="40">
        <f t="shared" si="9"/>
        <v>910000</v>
      </c>
      <c r="I21" s="40">
        <f t="shared" si="9"/>
        <v>910000</v>
      </c>
      <c r="J21" s="40">
        <f t="shared" si="9"/>
        <v>900000</v>
      </c>
      <c r="K21" s="40">
        <f t="shared" si="9"/>
        <v>880000</v>
      </c>
      <c r="L21" s="40">
        <f t="shared" si="9"/>
        <v>850000</v>
      </c>
      <c r="M21" s="40">
        <f t="shared" si="9"/>
        <v>810000</v>
      </c>
      <c r="N21" s="113">
        <f t="shared" si="9"/>
        <v>760000</v>
      </c>
      <c r="O21" s="120">
        <f>N21</f>
        <v>760000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8E10-1A59-40EA-B5EC-EF8D8D45C5BB}">
  <sheetPr>
    <tabColor theme="4" tint="0.79998168889431442"/>
  </sheetPr>
  <dimension ref="B2:F14"/>
  <sheetViews>
    <sheetView showGridLines="0" zoomScale="115" zoomScaleNormal="115" workbookViewId="0">
      <selection activeCell="C20" sqref="C20"/>
    </sheetView>
  </sheetViews>
  <sheetFormatPr defaultRowHeight="14.4" x14ac:dyDescent="0.3"/>
  <cols>
    <col min="1" max="1" width="1.77734375" customWidth="1"/>
    <col min="2" max="2" width="24" customWidth="1"/>
    <col min="3" max="6" width="14.77734375" style="2" customWidth="1"/>
  </cols>
  <sheetData>
    <row r="2" spans="2:6" s="1" customFormat="1" x14ac:dyDescent="0.3">
      <c r="B2" s="16" t="s">
        <v>51</v>
      </c>
      <c r="C2" s="4" t="s">
        <v>49</v>
      </c>
      <c r="D2" s="4" t="s">
        <v>50</v>
      </c>
      <c r="E2" s="4" t="s">
        <v>32</v>
      </c>
      <c r="F2" s="4" t="s">
        <v>72</v>
      </c>
    </row>
    <row r="3" spans="2:6" s="1" customFormat="1" x14ac:dyDescent="0.3">
      <c r="B3" s="43" t="s">
        <v>5</v>
      </c>
      <c r="C3" s="45">
        <f>'Revenue MIS'!C34</f>
        <v>6171250</v>
      </c>
      <c r="D3" s="45">
        <f>'P&amp;L'!O3</f>
        <v>6450000</v>
      </c>
      <c r="E3" s="45">
        <f>D3-C3</f>
        <v>278750</v>
      </c>
      <c r="F3" s="54">
        <f>E3/C3</f>
        <v>4.5169131051245696E-2</v>
      </c>
    </row>
    <row r="4" spans="2:6" x14ac:dyDescent="0.3">
      <c r="B4" s="23" t="s">
        <v>73</v>
      </c>
      <c r="C4" s="13">
        <f>-SUM('Expense MIS'!C25:C38)</f>
        <v>-1561656.5961872386</v>
      </c>
      <c r="D4" s="45">
        <f>'P&amp;L'!O4</f>
        <v>-1979661.851173752</v>
      </c>
      <c r="E4" s="13">
        <f t="shared" ref="E4:E14" si="0">D4-C4</f>
        <v>-418005.25498651341</v>
      </c>
      <c r="F4" s="14">
        <f t="shared" ref="F4:F14" si="1">E4/C4</f>
        <v>0.26766784452296816</v>
      </c>
    </row>
    <row r="5" spans="2:6" s="1" customFormat="1" x14ac:dyDescent="0.3">
      <c r="B5" s="25" t="s">
        <v>6</v>
      </c>
      <c r="C5" s="48">
        <f>SUM(C3:C4)</f>
        <v>4609593.4038127614</v>
      </c>
      <c r="D5" s="48">
        <f>SUM(D3:D4)</f>
        <v>4470338.148826248</v>
      </c>
      <c r="E5" s="48">
        <f t="shared" si="0"/>
        <v>-139255.25498651341</v>
      </c>
      <c r="F5" s="55">
        <f t="shared" si="1"/>
        <v>-3.0209878136177988E-2</v>
      </c>
    </row>
    <row r="6" spans="2:6" s="1" customFormat="1" x14ac:dyDescent="0.3">
      <c r="B6" s="46"/>
      <c r="C6" s="47"/>
      <c r="D6" s="47"/>
      <c r="E6" s="47"/>
      <c r="F6" s="56"/>
    </row>
    <row r="7" spans="2:6" x14ac:dyDescent="0.3">
      <c r="B7" s="10" t="s">
        <v>74</v>
      </c>
      <c r="C7" s="9">
        <f>-SUM('Expense MIS'!C39:C40)</f>
        <v>-68287.987200767064</v>
      </c>
      <c r="D7" s="9">
        <f>'P&amp;L'!O8</f>
        <v>-75875.541334185618</v>
      </c>
      <c r="E7" s="9">
        <f t="shared" si="0"/>
        <v>-7587.5541334185546</v>
      </c>
      <c r="F7" s="8">
        <f t="shared" si="1"/>
        <v>0.11111111111111099</v>
      </c>
    </row>
    <row r="8" spans="2:6" x14ac:dyDescent="0.3">
      <c r="B8" s="23" t="s">
        <v>75</v>
      </c>
      <c r="C8" s="13">
        <f>-'Expense MIS'!C41</f>
        <v>-124159.97672866737</v>
      </c>
      <c r="D8" s="9">
        <f>'P&amp;L'!O9</f>
        <v>-137955.5296985193</v>
      </c>
      <c r="E8" s="13">
        <f t="shared" si="0"/>
        <v>-13795.552969851924</v>
      </c>
      <c r="F8" s="14">
        <f t="shared" si="1"/>
        <v>0.11111111111111106</v>
      </c>
    </row>
    <row r="9" spans="2:6" s="1" customFormat="1" x14ac:dyDescent="0.3">
      <c r="B9" s="25" t="s">
        <v>76</v>
      </c>
      <c r="C9" s="48">
        <f>SUM(C5:C8)</f>
        <v>4417145.4398833271</v>
      </c>
      <c r="D9" s="48">
        <f>SUM(D5:D8)</f>
        <v>4256507.0777935432</v>
      </c>
      <c r="E9" s="48">
        <f t="shared" si="0"/>
        <v>-160638.36208978388</v>
      </c>
      <c r="F9" s="55">
        <f t="shared" si="1"/>
        <v>-3.6367007669556591E-2</v>
      </c>
    </row>
    <row r="10" spans="2:6" s="1" customFormat="1" x14ac:dyDescent="0.3">
      <c r="B10" s="51"/>
      <c r="C10" s="52"/>
      <c r="D10" s="52"/>
      <c r="E10" s="52"/>
      <c r="F10" s="57"/>
    </row>
    <row r="11" spans="2:6" x14ac:dyDescent="0.3">
      <c r="B11" s="23" t="s">
        <v>77</v>
      </c>
      <c r="C11" s="13">
        <f>-'Expense MIS'!C43</f>
        <v>-1878264.5368453402</v>
      </c>
      <c r="D11" s="13">
        <f>'P&amp;L'!O12</f>
        <v>-137955.5296985193</v>
      </c>
      <c r="E11" s="13">
        <f t="shared" si="0"/>
        <v>1740309.0071468209</v>
      </c>
      <c r="F11" s="14">
        <f t="shared" si="1"/>
        <v>-0.92655159750275429</v>
      </c>
    </row>
    <row r="12" spans="2:6" s="1" customFormat="1" ht="15" thickBot="1" x14ac:dyDescent="0.35">
      <c r="B12" s="49" t="s">
        <v>7</v>
      </c>
      <c r="C12" s="50">
        <f>SUM(C9:C11)</f>
        <v>2538880.9030379867</v>
      </c>
      <c r="D12" s="50">
        <f>SUM(D9:D11)</f>
        <v>4118551.5480950237</v>
      </c>
      <c r="E12" s="50">
        <f t="shared" si="0"/>
        <v>1579670.645057037</v>
      </c>
      <c r="F12" s="58">
        <f t="shared" si="1"/>
        <v>0.62219170783742828</v>
      </c>
    </row>
    <row r="13" spans="2:6" s="1" customFormat="1" x14ac:dyDescent="0.3">
      <c r="B13" s="51"/>
      <c r="C13" s="52"/>
      <c r="D13" s="52"/>
      <c r="E13" s="52"/>
      <c r="F13" s="57"/>
    </row>
    <row r="14" spans="2:6" s="1" customFormat="1" x14ac:dyDescent="0.3">
      <c r="B14" s="43" t="s">
        <v>78</v>
      </c>
      <c r="C14" s="60">
        <v>600000</v>
      </c>
      <c r="D14" s="45">
        <f>CFS!O21</f>
        <v>760000</v>
      </c>
      <c r="E14" s="45">
        <f t="shared" si="0"/>
        <v>160000</v>
      </c>
      <c r="F14" s="54">
        <f t="shared" si="1"/>
        <v>0.26666666666666666</v>
      </c>
    </row>
  </sheetData>
  <pageMargins left="0.7" right="0.7" top="0.75" bottom="0.75" header="0.3" footer="0.3"/>
  <pageSetup orientation="portrait" r:id="rId1"/>
  <ignoredErrors>
    <ignoredError sqref="C4 C7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79CE-821D-4953-AA25-312577E9C880}">
  <sheetPr>
    <tabColor theme="4" tint="0.79998168889431442"/>
  </sheetPr>
  <dimension ref="B1:H33"/>
  <sheetViews>
    <sheetView showGridLines="0" workbookViewId="0">
      <selection activeCell="G26" sqref="G26"/>
    </sheetView>
  </sheetViews>
  <sheetFormatPr defaultRowHeight="14.4" x14ac:dyDescent="0.3"/>
  <cols>
    <col min="1" max="1" width="1.77734375" customWidth="1"/>
    <col min="2" max="2" width="26.5546875" style="61" bestFit="1" customWidth="1"/>
    <col min="3" max="3" width="20.88671875" style="2" customWidth="1"/>
    <col min="4" max="4" width="16.77734375" style="2" customWidth="1"/>
    <col min="7" max="7" width="26.33203125" customWidth="1"/>
    <col min="8" max="8" width="16.77734375" customWidth="1"/>
  </cols>
  <sheetData>
    <row r="1" spans="2:8" x14ac:dyDescent="0.3">
      <c r="B1"/>
      <c r="C1"/>
      <c r="D1"/>
    </row>
    <row r="2" spans="2:8" ht="18" x14ac:dyDescent="0.35">
      <c r="B2" s="75" t="s">
        <v>89</v>
      </c>
      <c r="C2"/>
      <c r="D2"/>
    </row>
    <row r="3" spans="2:8" x14ac:dyDescent="0.3">
      <c r="B3"/>
      <c r="C3"/>
      <c r="D3"/>
    </row>
    <row r="4" spans="2:8" x14ac:dyDescent="0.3">
      <c r="B4" s="74" t="s">
        <v>90</v>
      </c>
      <c r="C4" s="74" t="s">
        <v>91</v>
      </c>
      <c r="D4" s="74" t="s">
        <v>92</v>
      </c>
    </row>
    <row r="5" spans="2:8" x14ac:dyDescent="0.3">
      <c r="B5" s="68" t="s">
        <v>204</v>
      </c>
      <c r="C5" s="7">
        <v>10000</v>
      </c>
      <c r="D5" s="68" t="s">
        <v>207</v>
      </c>
    </row>
    <row r="6" spans="2:8" x14ac:dyDescent="0.3">
      <c r="B6" s="68" t="s">
        <v>205</v>
      </c>
      <c r="C6" s="7">
        <v>20000</v>
      </c>
      <c r="D6" s="68" t="s">
        <v>207</v>
      </c>
    </row>
    <row r="7" spans="2:8" x14ac:dyDescent="0.3">
      <c r="B7" s="68" t="s">
        <v>206</v>
      </c>
      <c r="C7" s="7">
        <v>30000</v>
      </c>
      <c r="D7" s="68" t="s">
        <v>208</v>
      </c>
    </row>
    <row r="8" spans="2:8" x14ac:dyDescent="0.3">
      <c r="B8" s="68"/>
      <c r="C8" s="7"/>
      <c r="D8" s="68"/>
    </row>
    <row r="9" spans="2:8" x14ac:dyDescent="0.3">
      <c r="B9" s="68"/>
      <c r="C9" s="7"/>
      <c r="D9" s="68"/>
    </row>
    <row r="10" spans="2:8" x14ac:dyDescent="0.3">
      <c r="B10" s="68"/>
      <c r="C10" s="7"/>
      <c r="D10" s="68"/>
    </row>
    <row r="11" spans="2:8" x14ac:dyDescent="0.3">
      <c r="B11" s="68"/>
      <c r="C11" s="7"/>
      <c r="D11" s="68"/>
    </row>
    <row r="12" spans="2:8" x14ac:dyDescent="0.3">
      <c r="B12" s="68"/>
      <c r="C12" s="7"/>
      <c r="D12" s="68"/>
    </row>
    <row r="13" spans="2:8" x14ac:dyDescent="0.3">
      <c r="B13" s="68"/>
      <c r="C13" s="7"/>
      <c r="D13" s="68"/>
    </row>
    <row r="14" spans="2:8" x14ac:dyDescent="0.3">
      <c r="B14" s="76"/>
      <c r="C14" s="12"/>
      <c r="D14" s="76"/>
    </row>
    <row r="15" spans="2:8" ht="18.600000000000001" thickBot="1" x14ac:dyDescent="0.4">
      <c r="B15" s="53" t="s">
        <v>29</v>
      </c>
      <c r="C15" s="18">
        <f>SUM(C5:C14)</f>
        <v>60000</v>
      </c>
      <c r="D15" s="53"/>
      <c r="G15" s="151" t="s">
        <v>95</v>
      </c>
      <c r="H15" s="151"/>
    </row>
    <row r="17" spans="2:8" x14ac:dyDescent="0.3">
      <c r="G17" s="73" t="s">
        <v>51</v>
      </c>
      <c r="H17" s="74" t="s">
        <v>96</v>
      </c>
    </row>
    <row r="18" spans="2:8" ht="18" x14ac:dyDescent="0.35">
      <c r="B18" s="75" t="s">
        <v>93</v>
      </c>
      <c r="C18"/>
      <c r="D18"/>
      <c r="G18" s="69" t="s">
        <v>97</v>
      </c>
      <c r="H18" s="77">
        <f>C15</f>
        <v>60000</v>
      </c>
    </row>
    <row r="19" spans="2:8" x14ac:dyDescent="0.3">
      <c r="B19"/>
      <c r="C19"/>
      <c r="D19"/>
      <c r="G19" s="78" t="s">
        <v>98</v>
      </c>
      <c r="H19" s="79">
        <f>C31</f>
        <v>30000</v>
      </c>
    </row>
    <row r="20" spans="2:8" ht="15" thickBot="1" x14ac:dyDescent="0.35">
      <c r="B20" s="74" t="s">
        <v>94</v>
      </c>
      <c r="C20" s="74" t="s">
        <v>91</v>
      </c>
      <c r="D20" s="74" t="s">
        <v>92</v>
      </c>
      <c r="G20" s="80" t="s">
        <v>99</v>
      </c>
      <c r="H20" s="81">
        <f>H18-H19</f>
        <v>30000</v>
      </c>
    </row>
    <row r="21" spans="2:8" x14ac:dyDescent="0.3">
      <c r="B21" s="68" t="s">
        <v>210</v>
      </c>
      <c r="C21" s="7">
        <v>5000</v>
      </c>
      <c r="D21" s="68" t="s">
        <v>207</v>
      </c>
    </row>
    <row r="22" spans="2:8" x14ac:dyDescent="0.3">
      <c r="B22" s="68" t="s">
        <v>211</v>
      </c>
      <c r="C22" s="7">
        <v>10000</v>
      </c>
      <c r="D22" s="68" t="s">
        <v>209</v>
      </c>
    </row>
    <row r="23" spans="2:8" x14ac:dyDescent="0.3">
      <c r="B23" s="68" t="s">
        <v>212</v>
      </c>
      <c r="C23" s="7">
        <v>15000</v>
      </c>
      <c r="D23" s="68" t="s">
        <v>213</v>
      </c>
    </row>
    <row r="24" spans="2:8" x14ac:dyDescent="0.3">
      <c r="B24" s="68"/>
      <c r="C24" s="7"/>
      <c r="D24" s="68"/>
    </row>
    <row r="25" spans="2:8" x14ac:dyDescent="0.3">
      <c r="B25" s="68"/>
      <c r="C25" s="7"/>
      <c r="D25" s="68"/>
    </row>
    <row r="26" spans="2:8" x14ac:dyDescent="0.3">
      <c r="B26" s="68"/>
      <c r="C26" s="7"/>
      <c r="D26" s="68"/>
    </row>
    <row r="27" spans="2:8" x14ac:dyDescent="0.3">
      <c r="B27" s="68"/>
      <c r="C27" s="7"/>
      <c r="D27" s="68"/>
    </row>
    <row r="28" spans="2:8" x14ac:dyDescent="0.3">
      <c r="B28" s="68"/>
      <c r="C28" s="7"/>
      <c r="D28" s="68"/>
    </row>
    <row r="29" spans="2:8" x14ac:dyDescent="0.3">
      <c r="B29" s="68"/>
      <c r="C29" s="7"/>
      <c r="D29" s="68"/>
    </row>
    <row r="30" spans="2:8" x14ac:dyDescent="0.3">
      <c r="B30" s="68"/>
      <c r="C30" s="7"/>
      <c r="D30" s="68"/>
    </row>
    <row r="31" spans="2:8" ht="15" thickBot="1" x14ac:dyDescent="0.35">
      <c r="B31" s="53" t="s">
        <v>29</v>
      </c>
      <c r="C31" s="18">
        <f>SUM(C21:C30)</f>
        <v>30000</v>
      </c>
      <c r="D31" s="53"/>
    </row>
    <row r="33" spans="2:2" ht="18" x14ac:dyDescent="0.35">
      <c r="B33" s="75"/>
    </row>
  </sheetData>
  <mergeCells count="1">
    <mergeCell ref="G15:H15"/>
  </mergeCells>
  <conditionalFormatting sqref="D5:D14">
    <cfRule type="containsText" dxfId="5" priority="1" operator="containsText" text="Received">
      <formula>NOT(ISERROR(SEARCH("Received",D5)))</formula>
    </cfRule>
    <cfRule type="containsText" dxfId="4" priority="2" operator="containsText" text="Partially Received">
      <formula>NOT(ISERROR(SEARCH("Partially Received",D5)))</formula>
    </cfRule>
    <cfRule type="containsText" dxfId="3" priority="3" operator="containsText" text="Outstanding">
      <formula>NOT(ISERROR(SEARCH("Outstanding",D5)))</formula>
    </cfRule>
  </conditionalFormatting>
  <conditionalFormatting sqref="D21:D30">
    <cfRule type="containsText" dxfId="2" priority="4" operator="containsText" text="Paid">
      <formula>NOT(ISERROR(SEARCH("Paid",D21)))</formula>
    </cfRule>
    <cfRule type="containsText" dxfId="1" priority="6" operator="containsText" text="Partially Paid">
      <formula>NOT(ISERROR(SEARCH("Partially Paid",D21)))</formula>
    </cfRule>
    <cfRule type="containsText" dxfId="0" priority="8" operator="containsText" text="Outstanding">
      <formula>NOT(ISERROR(SEARCH("Outstanding",D21)))</formula>
    </cfRule>
  </conditionalFormatting>
  <dataValidations count="2">
    <dataValidation type="list" allowBlank="1" showInputMessage="1" showErrorMessage="1" sqref="D21:D30" xr:uid="{8865B145-1916-43AF-AA52-9DC2CDADDC21}">
      <formula1>"Outstanding,Partially Paid,Paid"</formula1>
    </dataValidation>
    <dataValidation type="list" allowBlank="1" showInputMessage="1" showErrorMessage="1" sqref="D5:D14" xr:uid="{2B72E198-529C-40B4-9EDD-1EFEAF782D33}">
      <formula1>"Outstanding,Partially Received,Received"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355B-E606-4B32-8478-B6A7FEEA01F3}">
  <sheetPr>
    <tabColor theme="4" tint="0.79998168889431442"/>
  </sheetPr>
  <dimension ref="B2:C16"/>
  <sheetViews>
    <sheetView showGridLines="0" zoomScale="130" zoomScaleNormal="130" workbookViewId="0">
      <selection activeCell="E15" sqref="E15"/>
    </sheetView>
  </sheetViews>
  <sheetFormatPr defaultRowHeight="14.4" x14ac:dyDescent="0.3"/>
  <cols>
    <col min="1" max="1" width="1.77734375" customWidth="1"/>
    <col min="2" max="2" width="24.33203125" style="61" customWidth="1"/>
    <col min="3" max="3" width="16.77734375" style="2" customWidth="1"/>
  </cols>
  <sheetData>
    <row r="2" spans="2:3" x14ac:dyDescent="0.3">
      <c r="B2" s="73" t="s">
        <v>51</v>
      </c>
      <c r="C2" s="74" t="s">
        <v>96</v>
      </c>
    </row>
    <row r="3" spans="2:3" x14ac:dyDescent="0.3">
      <c r="B3" s="69" t="s">
        <v>100</v>
      </c>
      <c r="C3" s="77">
        <f>CFS!O21</f>
        <v>760000</v>
      </c>
    </row>
    <row r="4" spans="2:3" x14ac:dyDescent="0.3">
      <c r="B4" s="69" t="s">
        <v>101</v>
      </c>
      <c r="C4" s="77">
        <f>'Receivables &amp; Payables Tracker'!H18</f>
        <v>60000</v>
      </c>
    </row>
    <row r="5" spans="2:3" x14ac:dyDescent="0.3">
      <c r="B5" s="69" t="s">
        <v>102</v>
      </c>
      <c r="C5" s="89">
        <v>100000</v>
      </c>
    </row>
    <row r="6" spans="2:3" x14ac:dyDescent="0.3">
      <c r="B6" s="78" t="s">
        <v>103</v>
      </c>
      <c r="C6" s="90">
        <v>50000</v>
      </c>
    </row>
    <row r="7" spans="2:3" s="1" customFormat="1" x14ac:dyDescent="0.3">
      <c r="B7" s="83" t="s">
        <v>104</v>
      </c>
      <c r="C7" s="86">
        <f>SUM(C3:C6)</f>
        <v>970000</v>
      </c>
    </row>
    <row r="8" spans="2:3" x14ac:dyDescent="0.3">
      <c r="B8" s="82"/>
      <c r="C8" s="87"/>
    </row>
    <row r="9" spans="2:3" x14ac:dyDescent="0.3">
      <c r="B9" s="69" t="s">
        <v>105</v>
      </c>
      <c r="C9" s="77">
        <f>'Receivables &amp; Payables Tracker'!H19</f>
        <v>30000</v>
      </c>
    </row>
    <row r="10" spans="2:3" x14ac:dyDescent="0.3">
      <c r="B10" s="69" t="s">
        <v>106</v>
      </c>
      <c r="C10" s="89">
        <v>300000</v>
      </c>
    </row>
    <row r="11" spans="2:3" x14ac:dyDescent="0.3">
      <c r="B11" s="78" t="s">
        <v>107</v>
      </c>
      <c r="C11" s="90">
        <v>150000</v>
      </c>
    </row>
    <row r="12" spans="2:3" s="1" customFormat="1" x14ac:dyDescent="0.3">
      <c r="B12" s="83" t="s">
        <v>108</v>
      </c>
      <c r="C12" s="86">
        <f>SUM(C9:C11)</f>
        <v>480000</v>
      </c>
    </row>
    <row r="13" spans="2:3" x14ac:dyDescent="0.3">
      <c r="B13" s="82"/>
      <c r="C13" s="87"/>
    </row>
    <row r="14" spans="2:3" x14ac:dyDescent="0.3">
      <c r="B14" s="84" t="s">
        <v>109</v>
      </c>
      <c r="C14" s="88">
        <f>C7-C12</f>
        <v>490000</v>
      </c>
    </row>
    <row r="15" spans="2:3" x14ac:dyDescent="0.3">
      <c r="B15" s="84" t="s">
        <v>12</v>
      </c>
      <c r="C15" s="85">
        <f>C7/C12</f>
        <v>2.0208333333333335</v>
      </c>
    </row>
    <row r="16" spans="2:3" x14ac:dyDescent="0.3">
      <c r="B16" s="84" t="s">
        <v>87</v>
      </c>
      <c r="C16" s="85">
        <f>(C7-C5)/C12</f>
        <v>1.8125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6FE5-F377-483D-BA16-F99A56263490}">
  <sheetPr>
    <tabColor theme="4" tint="0.79998168889431442"/>
  </sheetPr>
  <dimension ref="B2:C26"/>
  <sheetViews>
    <sheetView showGridLines="0" zoomScale="130" zoomScaleNormal="130" workbookViewId="0">
      <selection activeCell="C23" sqref="C23"/>
    </sheetView>
  </sheetViews>
  <sheetFormatPr defaultRowHeight="14.4" x14ac:dyDescent="0.3"/>
  <cols>
    <col min="1" max="1" width="1.77734375" customWidth="1"/>
    <col min="2" max="2" width="28.33203125" style="61" bestFit="1" customWidth="1"/>
    <col min="3" max="3" width="15.77734375" style="2" customWidth="1"/>
  </cols>
  <sheetData>
    <row r="2" spans="2:3" ht="18" x14ac:dyDescent="0.35">
      <c r="B2" s="75" t="s">
        <v>199</v>
      </c>
    </row>
    <row r="4" spans="2:3" x14ac:dyDescent="0.3">
      <c r="B4" s="73" t="s">
        <v>79</v>
      </c>
      <c r="C4" s="74" t="s">
        <v>80</v>
      </c>
    </row>
    <row r="5" spans="2:3" x14ac:dyDescent="0.3">
      <c r="B5" s="67" t="s">
        <v>81</v>
      </c>
      <c r="C5" s="6"/>
    </row>
    <row r="6" spans="2:3" x14ac:dyDescent="0.3">
      <c r="B6" s="69" t="s">
        <v>82</v>
      </c>
      <c r="C6" s="8">
        <f>'P&amp;L'!O3/'Revenue MIS'!C2-1</f>
        <v>0.29000000000000004</v>
      </c>
    </row>
    <row r="7" spans="2:3" x14ac:dyDescent="0.3">
      <c r="B7" s="69" t="s">
        <v>10</v>
      </c>
      <c r="C7" s="70">
        <f>'P&amp;L'!O6</f>
        <v>0.6930756819885654</v>
      </c>
    </row>
    <row r="8" spans="2:3" x14ac:dyDescent="0.3">
      <c r="B8" s="69" t="s">
        <v>83</v>
      </c>
      <c r="C8" s="70">
        <f>'P&amp;L'!O14</f>
        <v>0.63853512373566257</v>
      </c>
    </row>
    <row r="9" spans="2:3" x14ac:dyDescent="0.3">
      <c r="B9" s="69" t="s">
        <v>84</v>
      </c>
      <c r="C9" s="8">
        <f>-('P&amp;L'!O4/'P&amp;L'!O3)</f>
        <v>0.30692431801143444</v>
      </c>
    </row>
    <row r="10" spans="2:3" x14ac:dyDescent="0.3">
      <c r="B10" s="69" t="s">
        <v>8</v>
      </c>
      <c r="C10" s="9">
        <f>CFS!O21</f>
        <v>760000</v>
      </c>
    </row>
    <row r="11" spans="2:3" x14ac:dyDescent="0.3">
      <c r="B11" s="69" t="s">
        <v>9</v>
      </c>
      <c r="C11" s="9">
        <f>ABS(CFS!O7)/12</f>
        <v>5000</v>
      </c>
    </row>
    <row r="12" spans="2:3" x14ac:dyDescent="0.3">
      <c r="B12" s="69" t="s">
        <v>85</v>
      </c>
      <c r="C12" s="71">
        <f>CFS!O21/'KPI &amp; Ratio Analysis'!C11</f>
        <v>152</v>
      </c>
    </row>
    <row r="13" spans="2:3" x14ac:dyDescent="0.3">
      <c r="B13" s="72"/>
      <c r="C13" s="6"/>
    </row>
    <row r="14" spans="2:3" s="1" customFormat="1" x14ac:dyDescent="0.3">
      <c r="B14" s="67" t="s">
        <v>86</v>
      </c>
      <c r="C14" s="44"/>
    </row>
    <row r="15" spans="2:3" x14ac:dyDescent="0.3">
      <c r="B15" s="69" t="s">
        <v>12</v>
      </c>
      <c r="C15" s="140">
        <f>'Working Capital Inputs'!C15</f>
        <v>2.0208333333333335</v>
      </c>
    </row>
    <row r="16" spans="2:3" x14ac:dyDescent="0.3">
      <c r="B16" s="69" t="s">
        <v>87</v>
      </c>
      <c r="C16" s="140">
        <f>'Working Capital Inputs'!C16</f>
        <v>1.8125</v>
      </c>
    </row>
    <row r="19" spans="2:3" ht="18" x14ac:dyDescent="0.35">
      <c r="B19" s="75" t="s">
        <v>200</v>
      </c>
    </row>
    <row r="21" spans="2:3" x14ac:dyDescent="0.3">
      <c r="B21" s="139" t="s">
        <v>51</v>
      </c>
      <c r="C21" s="4" t="s">
        <v>80</v>
      </c>
    </row>
    <row r="22" spans="2:3" x14ac:dyDescent="0.3">
      <c r="B22" s="72" t="s">
        <v>186</v>
      </c>
      <c r="C22" s="9">
        <f>'D2C Metrics'!C4</f>
        <v>8000</v>
      </c>
    </row>
    <row r="23" spans="2:3" x14ac:dyDescent="0.3">
      <c r="B23" s="72" t="s">
        <v>189</v>
      </c>
      <c r="C23" s="9">
        <f>'D2C Metrics'!C10</f>
        <v>537.5</v>
      </c>
    </row>
    <row r="24" spans="2:3" x14ac:dyDescent="0.3">
      <c r="B24" s="72" t="s">
        <v>190</v>
      </c>
      <c r="C24" s="9">
        <f>'D2C Metrics'!C11</f>
        <v>17.244441212314911</v>
      </c>
    </row>
    <row r="25" spans="2:3" x14ac:dyDescent="0.3">
      <c r="B25" s="72" t="s">
        <v>191</v>
      </c>
      <c r="C25" s="8">
        <f>'D2C Metrics'!C12</f>
        <v>0.05</v>
      </c>
    </row>
    <row r="26" spans="2:3" x14ac:dyDescent="0.3">
      <c r="B26" s="72" t="s">
        <v>192</v>
      </c>
      <c r="C26" s="9">
        <f>'D2C Metrics'!C13</f>
        <v>806.25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Instructions</vt:lpstr>
      <vt:lpstr>Dashboard</vt:lpstr>
      <vt:lpstr>Revenue MIS</vt:lpstr>
      <vt:lpstr>Expense MIS</vt:lpstr>
      <vt:lpstr>D2C Metrics</vt:lpstr>
      <vt:lpstr>P&amp;L</vt:lpstr>
      <vt:lpstr>CFS</vt:lpstr>
      <vt:lpstr>Budget vs Actual</vt:lpstr>
      <vt:lpstr>Receivables &amp; Payables Tracker</vt:lpstr>
      <vt:lpstr>Working Capital Inputs</vt:lpstr>
      <vt:lpstr>KPI &amp; Ratio Analysis</vt:lpstr>
      <vt:lpstr>Instructions!Print_Area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Shukoor</dc:creator>
  <cp:lastModifiedBy>Asif Shukoor</cp:lastModifiedBy>
  <dcterms:created xsi:type="dcterms:W3CDTF">2015-06-05T18:17:20Z</dcterms:created>
  <dcterms:modified xsi:type="dcterms:W3CDTF">2026-06-23T18:17:03Z</dcterms:modified>
</cp:coreProperties>
</file>