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ifa\Downloads\"/>
    </mc:Choice>
  </mc:AlternateContent>
  <xr:revisionPtr revIDLastSave="0" documentId="13_ncr:1_{66AE08C5-E946-4710-AB18-F9748635BF71}" xr6:coauthVersionLast="47" xr6:coauthVersionMax="47" xr10:uidLastSave="{00000000-0000-0000-0000-000000000000}"/>
  <bookViews>
    <workbookView xWindow="-108" yWindow="-108" windowWidth="23256" windowHeight="13896" tabRatio="624" xr2:uid="{00000000-000D-0000-FFFF-FFFF00000000}"/>
  </bookViews>
  <sheets>
    <sheet name="Instructions - Cash Runway" sheetId="8" r:id="rId1"/>
    <sheet name="Cover" sheetId="1" r:id="rId2"/>
    <sheet name="Inputs" sheetId="2" r:id="rId3"/>
    <sheet name="Headcount" sheetId="3" r:id="rId4"/>
    <sheet name="Opex" sheetId="4" r:id="rId5"/>
    <sheet name="Financing" sheetId="5" r:id="rId6"/>
    <sheet name="Cash Flow" sheetId="6" r:id="rId7"/>
    <sheet name="Summary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C21" i="4" l="1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C4" i="7"/>
  <c r="C22" i="6"/>
  <c r="Z18" i="6"/>
  <c r="S18" i="6"/>
  <c r="C9" i="6"/>
  <c r="C12" i="7" s="1"/>
  <c r="C6" i="6"/>
  <c r="D6" i="6" s="1"/>
  <c r="AF10" i="5"/>
  <c r="AE10" i="5"/>
  <c r="Y18" i="6" s="1"/>
  <c r="AD10" i="5"/>
  <c r="X18" i="6" s="1"/>
  <c r="AC10" i="5"/>
  <c r="W18" i="6" s="1"/>
  <c r="AB10" i="5"/>
  <c r="V18" i="6" s="1"/>
  <c r="AA10" i="5"/>
  <c r="U18" i="6" s="1"/>
  <c r="Z10" i="5"/>
  <c r="T18" i="6" s="1"/>
  <c r="Y10" i="5"/>
  <c r="X10" i="5"/>
  <c r="R18" i="6" s="1"/>
  <c r="W10" i="5"/>
  <c r="Q18" i="6" s="1"/>
  <c r="V10" i="5"/>
  <c r="P18" i="6" s="1"/>
  <c r="T10" i="5"/>
  <c r="N18" i="6" s="1"/>
  <c r="S10" i="5"/>
  <c r="M18" i="6" s="1"/>
  <c r="R10" i="5"/>
  <c r="L18" i="6" s="1"/>
  <c r="P10" i="5"/>
  <c r="J18" i="6" s="1"/>
  <c r="O10" i="5"/>
  <c r="I18" i="6" s="1"/>
  <c r="M10" i="5"/>
  <c r="G18" i="6" s="1"/>
  <c r="L10" i="5"/>
  <c r="F18" i="6" s="1"/>
  <c r="J10" i="5"/>
  <c r="D18" i="6" s="1"/>
  <c r="G8" i="5"/>
  <c r="U8" i="5" s="1"/>
  <c r="U10" i="5" s="1"/>
  <c r="O18" i="6" s="1"/>
  <c r="Q10" i="5"/>
  <c r="K18" i="6" s="1"/>
  <c r="G7" i="5"/>
  <c r="N7" i="5" s="1"/>
  <c r="N10" i="5" s="1"/>
  <c r="H18" i="6" s="1"/>
  <c r="G6" i="5"/>
  <c r="K6" i="5" s="1"/>
  <c r="K10" i="5" s="1"/>
  <c r="E18" i="6" s="1"/>
  <c r="G5" i="5"/>
  <c r="I5" i="5" s="1"/>
  <c r="I10" i="5" s="1"/>
  <c r="C18" i="6" s="1"/>
  <c r="F14" i="4"/>
  <c r="G14" i="4" s="1"/>
  <c r="H14" i="4" s="1"/>
  <c r="I14" i="4" s="1"/>
  <c r="J14" i="4" s="1"/>
  <c r="K14" i="4" s="1"/>
  <c r="L14" i="4" s="1"/>
  <c r="M14" i="4" s="1"/>
  <c r="N14" i="4" s="1"/>
  <c r="O14" i="4" s="1"/>
  <c r="P14" i="4" s="1"/>
  <c r="Q14" i="4" s="1"/>
  <c r="R14" i="4" s="1"/>
  <c r="S14" i="4" s="1"/>
  <c r="T14" i="4" s="1"/>
  <c r="U14" i="4" s="1"/>
  <c r="V14" i="4" s="1"/>
  <c r="W14" i="4" s="1"/>
  <c r="X14" i="4" s="1"/>
  <c r="Y14" i="4" s="1"/>
  <c r="Z14" i="4" s="1"/>
  <c r="AA14" i="4" s="1"/>
  <c r="AB14" i="4" s="1"/>
  <c r="AC14" i="4" s="1"/>
  <c r="F13" i="4"/>
  <c r="G13" i="4" s="1"/>
  <c r="F12" i="4"/>
  <c r="G12" i="4" s="1"/>
  <c r="H12" i="4" s="1"/>
  <c r="I12" i="4" s="1"/>
  <c r="J12" i="4" s="1"/>
  <c r="K12" i="4" s="1"/>
  <c r="L12" i="4" s="1"/>
  <c r="M12" i="4" s="1"/>
  <c r="N12" i="4" s="1"/>
  <c r="O12" i="4" s="1"/>
  <c r="P12" i="4" s="1"/>
  <c r="Q12" i="4" s="1"/>
  <c r="R12" i="4" s="1"/>
  <c r="S12" i="4" s="1"/>
  <c r="T12" i="4" s="1"/>
  <c r="U12" i="4" s="1"/>
  <c r="V12" i="4" s="1"/>
  <c r="W12" i="4" s="1"/>
  <c r="X12" i="4" s="1"/>
  <c r="Y12" i="4" s="1"/>
  <c r="Z12" i="4" s="1"/>
  <c r="AA12" i="4" s="1"/>
  <c r="AB12" i="4" s="1"/>
  <c r="AC12" i="4" s="1"/>
  <c r="F11" i="4"/>
  <c r="F10" i="4"/>
  <c r="G10" i="4" s="1"/>
  <c r="H10" i="4" s="1"/>
  <c r="I10" i="4" s="1"/>
  <c r="J10" i="4" s="1"/>
  <c r="K10" i="4" s="1"/>
  <c r="L10" i="4" s="1"/>
  <c r="M10" i="4" s="1"/>
  <c r="N10" i="4" s="1"/>
  <c r="O10" i="4" s="1"/>
  <c r="P10" i="4" s="1"/>
  <c r="Q10" i="4" s="1"/>
  <c r="R10" i="4" s="1"/>
  <c r="S10" i="4" s="1"/>
  <c r="T10" i="4" s="1"/>
  <c r="U10" i="4" s="1"/>
  <c r="V10" i="4" s="1"/>
  <c r="W10" i="4" s="1"/>
  <c r="X10" i="4" s="1"/>
  <c r="Y10" i="4" s="1"/>
  <c r="Z10" i="4" s="1"/>
  <c r="AA10" i="4" s="1"/>
  <c r="AB10" i="4" s="1"/>
  <c r="AC10" i="4" s="1"/>
  <c r="F9" i="4"/>
  <c r="F8" i="4"/>
  <c r="G8" i="4" s="1"/>
  <c r="H8" i="4" s="1"/>
  <c r="I8" i="4" s="1"/>
  <c r="J8" i="4" s="1"/>
  <c r="K8" i="4" s="1"/>
  <c r="L8" i="4" s="1"/>
  <c r="M8" i="4" s="1"/>
  <c r="N8" i="4" s="1"/>
  <c r="O8" i="4" s="1"/>
  <c r="P8" i="4" s="1"/>
  <c r="Q8" i="4" s="1"/>
  <c r="R8" i="4" s="1"/>
  <c r="S8" i="4" s="1"/>
  <c r="T8" i="4" s="1"/>
  <c r="U8" i="4" s="1"/>
  <c r="V8" i="4" s="1"/>
  <c r="W8" i="4" s="1"/>
  <c r="X8" i="4" s="1"/>
  <c r="Y8" i="4" s="1"/>
  <c r="Z8" i="4" s="1"/>
  <c r="AA8" i="4" s="1"/>
  <c r="AB8" i="4" s="1"/>
  <c r="AC8" i="4" s="1"/>
  <c r="F7" i="4"/>
  <c r="G7" i="4" s="1"/>
  <c r="H7" i="4" s="1"/>
  <c r="H17" i="4" s="1"/>
  <c r="F6" i="4"/>
  <c r="G6" i="4" s="1"/>
  <c r="H6" i="4" s="1"/>
  <c r="I6" i="4" s="1"/>
  <c r="J6" i="4" s="1"/>
  <c r="K6" i="4" s="1"/>
  <c r="L6" i="4" s="1"/>
  <c r="M6" i="4" s="1"/>
  <c r="N6" i="4" s="1"/>
  <c r="O6" i="4" s="1"/>
  <c r="P6" i="4" s="1"/>
  <c r="Q6" i="4" s="1"/>
  <c r="R6" i="4" s="1"/>
  <c r="S6" i="4" s="1"/>
  <c r="T6" i="4" s="1"/>
  <c r="U6" i="4" s="1"/>
  <c r="V6" i="4" s="1"/>
  <c r="W6" i="4" s="1"/>
  <c r="X6" i="4" s="1"/>
  <c r="Y6" i="4" s="1"/>
  <c r="Z6" i="4" s="1"/>
  <c r="AA6" i="4" s="1"/>
  <c r="AB6" i="4" s="1"/>
  <c r="AC6" i="4" s="1"/>
  <c r="F5" i="4"/>
  <c r="G5" i="4" s="1"/>
  <c r="R19" i="3"/>
  <c r="J19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H14" i="3"/>
  <c r="I14" i="3" s="1"/>
  <c r="AG13" i="3"/>
  <c r="AG20" i="3" s="1"/>
  <c r="AF13" i="3"/>
  <c r="AE13" i="3"/>
  <c r="AD13" i="3"/>
  <c r="AC13" i="3"/>
  <c r="AC20" i="3" s="1"/>
  <c r="AB13" i="3"/>
  <c r="AA13" i="3"/>
  <c r="Z13" i="3"/>
  <c r="Y13" i="3"/>
  <c r="Y20" i="3" s="1"/>
  <c r="X13" i="3"/>
  <c r="W13" i="3"/>
  <c r="V13" i="3"/>
  <c r="U13" i="3"/>
  <c r="T13" i="3"/>
  <c r="T20" i="3" s="1"/>
  <c r="S13" i="3"/>
  <c r="S20" i="3" s="1"/>
  <c r="R13" i="3"/>
  <c r="R20" i="3" s="1"/>
  <c r="Q13" i="3"/>
  <c r="Q20" i="3" s="1"/>
  <c r="P13" i="3"/>
  <c r="O13" i="3"/>
  <c r="O20" i="3" s="1"/>
  <c r="N13" i="3"/>
  <c r="N20" i="3" s="1"/>
  <c r="M13" i="3"/>
  <c r="M20" i="3" s="1"/>
  <c r="L13" i="3"/>
  <c r="L20" i="3" s="1"/>
  <c r="K13" i="3"/>
  <c r="K20" i="3" s="1"/>
  <c r="J13" i="3"/>
  <c r="J20" i="3" s="1"/>
  <c r="I13" i="3"/>
  <c r="H13" i="3"/>
  <c r="AG12" i="3"/>
  <c r="AG19" i="3" s="1"/>
  <c r="AF12" i="3"/>
  <c r="AF19" i="3" s="1"/>
  <c r="AE12" i="3"/>
  <c r="AE19" i="3" s="1"/>
  <c r="AD12" i="3"/>
  <c r="AD19" i="3" s="1"/>
  <c r="AC12" i="3"/>
  <c r="AC19" i="3" s="1"/>
  <c r="AB12" i="3"/>
  <c r="AB19" i="3" s="1"/>
  <c r="AA12" i="3"/>
  <c r="AA19" i="3" s="1"/>
  <c r="Z12" i="3"/>
  <c r="Z19" i="3" s="1"/>
  <c r="Y12" i="3"/>
  <c r="Y19" i="3" s="1"/>
  <c r="X12" i="3"/>
  <c r="X19" i="3" s="1"/>
  <c r="W12" i="3"/>
  <c r="W19" i="3" s="1"/>
  <c r="V12" i="3"/>
  <c r="V19" i="3" s="1"/>
  <c r="U12" i="3"/>
  <c r="U19" i="3" s="1"/>
  <c r="T12" i="3"/>
  <c r="T19" i="3" s="1"/>
  <c r="S12" i="3"/>
  <c r="S19" i="3" s="1"/>
  <c r="R12" i="3"/>
  <c r="Q12" i="3"/>
  <c r="Q19" i="3" s="1"/>
  <c r="P12" i="3"/>
  <c r="P19" i="3" s="1"/>
  <c r="O12" i="3"/>
  <c r="O19" i="3" s="1"/>
  <c r="N12" i="3"/>
  <c r="N19" i="3" s="1"/>
  <c r="M12" i="3"/>
  <c r="M19" i="3" s="1"/>
  <c r="L12" i="3"/>
  <c r="L19" i="3" s="1"/>
  <c r="K12" i="3"/>
  <c r="K19" i="3" s="1"/>
  <c r="H12" i="3"/>
  <c r="I12" i="3" s="1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H11" i="3"/>
  <c r="I11" i="3" s="1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U18" i="3" s="1"/>
  <c r="T10" i="3"/>
  <c r="S10" i="3"/>
  <c r="S18" i="3" s="1"/>
  <c r="R10" i="3"/>
  <c r="Q10" i="3"/>
  <c r="P10" i="3"/>
  <c r="O10" i="3"/>
  <c r="N10" i="3"/>
  <c r="M10" i="3"/>
  <c r="L10" i="3"/>
  <c r="K10" i="3"/>
  <c r="K18" i="3" s="1"/>
  <c r="J10" i="3"/>
  <c r="J18" i="3" s="1"/>
  <c r="I10" i="3"/>
  <c r="H10" i="3"/>
  <c r="AG9" i="3"/>
  <c r="AF9" i="3"/>
  <c r="AE9" i="3"/>
  <c r="AD9" i="3"/>
  <c r="AD17" i="3" s="1"/>
  <c r="AC9" i="3"/>
  <c r="AB9" i="3"/>
  <c r="AA9" i="3"/>
  <c r="Z9" i="3"/>
  <c r="Y9" i="3"/>
  <c r="X9" i="3"/>
  <c r="W9" i="3"/>
  <c r="V9" i="3"/>
  <c r="V17" i="3" s="1"/>
  <c r="U9" i="3"/>
  <c r="U17" i="3" s="1"/>
  <c r="T9" i="3"/>
  <c r="S9" i="3"/>
  <c r="R9" i="3"/>
  <c r="Q9" i="3"/>
  <c r="P9" i="3"/>
  <c r="O9" i="3"/>
  <c r="H9" i="3"/>
  <c r="I9" i="3" s="1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N17" i="3" s="1"/>
  <c r="M8" i="3"/>
  <c r="M17" i="3" s="1"/>
  <c r="L8" i="3"/>
  <c r="L17" i="3" s="1"/>
  <c r="K8" i="3"/>
  <c r="K17" i="3" s="1"/>
  <c r="J8" i="3"/>
  <c r="J17" i="3" s="1"/>
  <c r="H8" i="3"/>
  <c r="I8" i="3" s="1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H7" i="3"/>
  <c r="I7" i="3" s="1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H6" i="3"/>
  <c r="I6" i="3" s="1"/>
  <c r="AG5" i="3"/>
  <c r="AF5" i="3"/>
  <c r="AE5" i="3"/>
  <c r="AD5" i="3"/>
  <c r="AC5" i="3"/>
  <c r="AB5" i="3"/>
  <c r="AA5" i="3"/>
  <c r="Z5" i="3"/>
  <c r="Y5" i="3"/>
  <c r="X5" i="3"/>
  <c r="W5" i="3"/>
  <c r="V5" i="3"/>
  <c r="U5" i="3"/>
  <c r="U16" i="3" s="1"/>
  <c r="T5" i="3"/>
  <c r="S5" i="3"/>
  <c r="R5" i="3"/>
  <c r="Q5" i="3"/>
  <c r="P5" i="3"/>
  <c r="O5" i="3"/>
  <c r="N5" i="3"/>
  <c r="M5" i="3"/>
  <c r="L5" i="3"/>
  <c r="L16" i="3" s="1"/>
  <c r="K5" i="3"/>
  <c r="K16" i="3" s="1"/>
  <c r="J5" i="3"/>
  <c r="J16" i="3" s="1"/>
  <c r="H5" i="3"/>
  <c r="I5" i="3" s="1"/>
  <c r="AA18" i="3" l="1"/>
  <c r="Z20" i="3"/>
  <c r="AA20" i="3"/>
  <c r="V18" i="3"/>
  <c r="AB20" i="3"/>
  <c r="F17" i="4"/>
  <c r="G17" i="4"/>
  <c r="F20" i="4"/>
  <c r="AD20" i="3"/>
  <c r="AD18" i="3"/>
  <c r="Q18" i="3"/>
  <c r="Z18" i="3"/>
  <c r="AG18" i="3"/>
  <c r="N18" i="3"/>
  <c r="Y18" i="3"/>
  <c r="R18" i="3"/>
  <c r="AG17" i="3"/>
  <c r="Y17" i="3"/>
  <c r="T17" i="3"/>
  <c r="AB17" i="3"/>
  <c r="Q17" i="3"/>
  <c r="Z17" i="3"/>
  <c r="AC17" i="3"/>
  <c r="Z16" i="3"/>
  <c r="Y16" i="3"/>
  <c r="R16" i="3"/>
  <c r="N16" i="3"/>
  <c r="AD16" i="3"/>
  <c r="W18" i="3"/>
  <c r="Q16" i="3"/>
  <c r="AG16" i="3"/>
  <c r="AG22" i="3" s="1"/>
  <c r="Z12" i="6" s="1"/>
  <c r="P17" i="3"/>
  <c r="X17" i="3"/>
  <c r="AF17" i="3"/>
  <c r="P20" i="3"/>
  <c r="X20" i="3"/>
  <c r="AF20" i="3"/>
  <c r="U20" i="3"/>
  <c r="U22" i="3" s="1"/>
  <c r="N12" i="6" s="1"/>
  <c r="J22" i="3"/>
  <c r="C12" i="6" s="1"/>
  <c r="C15" i="6" s="1"/>
  <c r="AB16" i="3"/>
  <c r="M18" i="3"/>
  <c r="V16" i="3"/>
  <c r="AC16" i="3"/>
  <c r="V20" i="3"/>
  <c r="S16" i="3"/>
  <c r="AA16" i="3"/>
  <c r="T16" i="3"/>
  <c r="AC18" i="3"/>
  <c r="AC22" i="3" s="1"/>
  <c r="V12" i="6" s="1"/>
  <c r="M16" i="3"/>
  <c r="O18" i="3"/>
  <c r="AE18" i="3"/>
  <c r="O16" i="3"/>
  <c r="W16" i="3"/>
  <c r="AE16" i="3"/>
  <c r="R17" i="3"/>
  <c r="P18" i="3"/>
  <c r="X18" i="3"/>
  <c r="AF18" i="3"/>
  <c r="W20" i="3"/>
  <c r="AE20" i="3"/>
  <c r="G11" i="4"/>
  <c r="S17" i="3"/>
  <c r="AA17" i="3"/>
  <c r="L18" i="3"/>
  <c r="L22" i="3" s="1"/>
  <c r="E12" i="6" s="1"/>
  <c r="T18" i="3"/>
  <c r="AB18" i="3"/>
  <c r="H5" i="4"/>
  <c r="G16" i="4"/>
  <c r="G20" i="4"/>
  <c r="H13" i="4"/>
  <c r="I7" i="4"/>
  <c r="I17" i="4" s="1"/>
  <c r="F16" i="4"/>
  <c r="F18" i="4"/>
  <c r="G9" i="4"/>
  <c r="K22" i="3"/>
  <c r="D12" i="6" s="1"/>
  <c r="P16" i="3"/>
  <c r="X16" i="3"/>
  <c r="AF16" i="3"/>
  <c r="O17" i="3"/>
  <c r="W17" i="3"/>
  <c r="AE17" i="3"/>
  <c r="E6" i="6"/>
  <c r="E7" i="6"/>
  <c r="E9" i="6" s="1"/>
  <c r="G4" i="7"/>
  <c r="D7" i="6"/>
  <c r="D9" i="6" s="1"/>
  <c r="Q22" i="3" l="1"/>
  <c r="J12" i="6" s="1"/>
  <c r="AD22" i="3"/>
  <c r="W12" i="6" s="1"/>
  <c r="Y22" i="3"/>
  <c r="R12" i="6" s="1"/>
  <c r="AB22" i="3"/>
  <c r="U12" i="6" s="1"/>
  <c r="M22" i="3"/>
  <c r="F12" i="6" s="1"/>
  <c r="C13" i="7"/>
  <c r="C27" i="6"/>
  <c r="Z22" i="3"/>
  <c r="S12" i="6" s="1"/>
  <c r="F23" i="4"/>
  <c r="D13" i="6" s="1"/>
  <c r="D15" i="6" s="1"/>
  <c r="V22" i="3"/>
  <c r="O12" i="6" s="1"/>
  <c r="R22" i="3"/>
  <c r="K12" i="6" s="1"/>
  <c r="N22" i="3"/>
  <c r="G12" i="6" s="1"/>
  <c r="T22" i="3"/>
  <c r="M12" i="6" s="1"/>
  <c r="AA22" i="3"/>
  <c r="T12" i="6" s="1"/>
  <c r="AE22" i="3"/>
  <c r="X12" i="6" s="1"/>
  <c r="S22" i="3"/>
  <c r="L12" i="6" s="1"/>
  <c r="P22" i="3"/>
  <c r="I12" i="6" s="1"/>
  <c r="O22" i="3"/>
  <c r="H12" i="6" s="1"/>
  <c r="AF22" i="3"/>
  <c r="Y12" i="6" s="1"/>
  <c r="C21" i="6"/>
  <c r="W22" i="3"/>
  <c r="P12" i="6" s="1"/>
  <c r="X22" i="3"/>
  <c r="Q12" i="6" s="1"/>
  <c r="J7" i="4"/>
  <c r="J17" i="4" s="1"/>
  <c r="E12" i="7"/>
  <c r="H11" i="4"/>
  <c r="F7" i="6"/>
  <c r="F9" i="6" s="1"/>
  <c r="F6" i="6"/>
  <c r="H9" i="4"/>
  <c r="G18" i="4"/>
  <c r="D12" i="7"/>
  <c r="H16" i="4"/>
  <c r="I5" i="4"/>
  <c r="H20" i="4"/>
  <c r="I13" i="4"/>
  <c r="D13" i="7" l="1"/>
  <c r="D27" i="6"/>
  <c r="D28" i="6" s="1"/>
  <c r="C28" i="6"/>
  <c r="G23" i="4"/>
  <c r="E13" i="6" s="1"/>
  <c r="E15" i="6" s="1"/>
  <c r="C23" i="6"/>
  <c r="C26" i="6" s="1"/>
  <c r="I16" i="4"/>
  <c r="J5" i="4"/>
  <c r="I20" i="4"/>
  <c r="J13" i="4"/>
  <c r="H18" i="4"/>
  <c r="I9" i="4"/>
  <c r="D21" i="6"/>
  <c r="H23" i="4"/>
  <c r="F13" i="6" s="1"/>
  <c r="F15" i="6" s="1"/>
  <c r="F27" i="6" s="1"/>
  <c r="F28" i="6" s="1"/>
  <c r="I11" i="4"/>
  <c r="G6" i="6"/>
  <c r="G7" i="6"/>
  <c r="G9" i="6" s="1"/>
  <c r="F12" i="7"/>
  <c r="K7" i="4"/>
  <c r="K17" i="4" s="1"/>
  <c r="E13" i="7" l="1"/>
  <c r="E27" i="6"/>
  <c r="E28" i="6" s="1"/>
  <c r="E21" i="6"/>
  <c r="C11" i="7"/>
  <c r="D22" i="6"/>
  <c r="D23" i="6" s="1"/>
  <c r="D26" i="6" s="1"/>
  <c r="C10" i="7"/>
  <c r="C24" i="6"/>
  <c r="F13" i="7"/>
  <c r="F21" i="6"/>
  <c r="K13" i="4"/>
  <c r="J20" i="4"/>
  <c r="J11" i="4"/>
  <c r="L7" i="4"/>
  <c r="L17" i="4" s="1"/>
  <c r="I18" i="4"/>
  <c r="J9" i="4"/>
  <c r="K5" i="4"/>
  <c r="J16" i="4"/>
  <c r="G12" i="7"/>
  <c r="H7" i="6"/>
  <c r="H9" i="6" s="1"/>
  <c r="H6" i="6"/>
  <c r="I23" i="4" l="1"/>
  <c r="G13" i="6" s="1"/>
  <c r="G15" i="6" s="1"/>
  <c r="G27" i="6" s="1"/>
  <c r="G28" i="6" s="1"/>
  <c r="E11" i="7"/>
  <c r="C14" i="7"/>
  <c r="G13" i="7"/>
  <c r="G21" i="6"/>
  <c r="I6" i="6"/>
  <c r="I7" i="6"/>
  <c r="I9" i="6" s="1"/>
  <c r="H12" i="7"/>
  <c r="K9" i="4"/>
  <c r="J18" i="4"/>
  <c r="E22" i="6"/>
  <c r="E23" i="6" s="1"/>
  <c r="E26" i="6" s="1"/>
  <c r="D14" i="7"/>
  <c r="D24" i="6"/>
  <c r="D10" i="7"/>
  <c r="K11" i="4"/>
  <c r="D11" i="7"/>
  <c r="K20" i="4"/>
  <c r="L13" i="4"/>
  <c r="K16" i="4"/>
  <c r="L5" i="4"/>
  <c r="M7" i="4"/>
  <c r="M17" i="4" s="1"/>
  <c r="J23" i="4" l="1"/>
  <c r="H13" i="6" s="1"/>
  <c r="H15" i="6" s="1"/>
  <c r="F11" i="7"/>
  <c r="L16" i="4"/>
  <c r="M5" i="4"/>
  <c r="F22" i="6"/>
  <c r="F23" i="6" s="1"/>
  <c r="F26" i="6" s="1"/>
  <c r="E14" i="7"/>
  <c r="E24" i="6"/>
  <c r="E10" i="7"/>
  <c r="J6" i="6"/>
  <c r="J7" i="6"/>
  <c r="J9" i="6" s="1"/>
  <c r="L11" i="4"/>
  <c r="L20" i="4"/>
  <c r="M13" i="4"/>
  <c r="I12" i="7"/>
  <c r="N7" i="4"/>
  <c r="N17" i="4" s="1"/>
  <c r="K18" i="4"/>
  <c r="L9" i="4"/>
  <c r="H21" i="6" l="1"/>
  <c r="H27" i="6"/>
  <c r="H28" i="6" s="1"/>
  <c r="H13" i="7"/>
  <c r="K23" i="4"/>
  <c r="I13" i="6" s="1"/>
  <c r="I15" i="6" s="1"/>
  <c r="I27" i="6" s="1"/>
  <c r="I28" i="6" s="1"/>
  <c r="G11" i="7"/>
  <c r="I13" i="7"/>
  <c r="I21" i="6"/>
  <c r="G22" i="6"/>
  <c r="G23" i="6" s="1"/>
  <c r="G26" i="6" s="1"/>
  <c r="F14" i="7"/>
  <c r="F24" i="6"/>
  <c r="F10" i="7"/>
  <c r="K6" i="6"/>
  <c r="K7" i="6"/>
  <c r="K9" i="6" s="1"/>
  <c r="N13" i="4"/>
  <c r="M20" i="4"/>
  <c r="J12" i="7"/>
  <c r="N5" i="4"/>
  <c r="M16" i="4"/>
  <c r="O7" i="4"/>
  <c r="O17" i="4" s="1"/>
  <c r="L18" i="4"/>
  <c r="M9" i="4"/>
  <c r="M11" i="4"/>
  <c r="L23" i="4" l="1"/>
  <c r="J13" i="6" s="1"/>
  <c r="J15" i="6" s="1"/>
  <c r="H11" i="7"/>
  <c r="G14" i="7"/>
  <c r="G24" i="6"/>
  <c r="G10" i="7"/>
  <c r="H22" i="6"/>
  <c r="H23" i="6" s="1"/>
  <c r="H26" i="6" s="1"/>
  <c r="N16" i="4"/>
  <c r="O5" i="4"/>
  <c r="L6" i="6"/>
  <c r="L7" i="6"/>
  <c r="L9" i="6" s="1"/>
  <c r="P7" i="4"/>
  <c r="P17" i="4" s="1"/>
  <c r="K12" i="7"/>
  <c r="M18" i="4"/>
  <c r="N9" i="4"/>
  <c r="N11" i="4"/>
  <c r="N20" i="4"/>
  <c r="O13" i="4"/>
  <c r="J13" i="7" l="1"/>
  <c r="J27" i="6"/>
  <c r="J28" i="6" s="1"/>
  <c r="J21" i="6"/>
  <c r="M23" i="4"/>
  <c r="K13" i="6" s="1"/>
  <c r="K15" i="6" s="1"/>
  <c r="K27" i="6" s="1"/>
  <c r="K28" i="6" s="1"/>
  <c r="I11" i="7"/>
  <c r="K13" i="7"/>
  <c r="K21" i="6"/>
  <c r="O11" i="4"/>
  <c r="Q7" i="4"/>
  <c r="Q17" i="4" s="1"/>
  <c r="O9" i="4"/>
  <c r="N18" i="4"/>
  <c r="L12" i="7"/>
  <c r="O20" i="4"/>
  <c r="P13" i="4"/>
  <c r="H10" i="7"/>
  <c r="I22" i="6"/>
  <c r="I23" i="6" s="1"/>
  <c r="I26" i="6" s="1"/>
  <c r="H14" i="7"/>
  <c r="H24" i="6"/>
  <c r="M6" i="6"/>
  <c r="M7" i="6"/>
  <c r="M9" i="6" s="1"/>
  <c r="O16" i="4"/>
  <c r="P5" i="4"/>
  <c r="N23" i="4" l="1"/>
  <c r="L13" i="6" s="1"/>
  <c r="L15" i="6" s="1"/>
  <c r="P9" i="4"/>
  <c r="O18" i="4"/>
  <c r="N7" i="6"/>
  <c r="N9" i="6" s="1"/>
  <c r="N6" i="6"/>
  <c r="P20" i="4"/>
  <c r="Q13" i="4"/>
  <c r="M12" i="7"/>
  <c r="R7" i="4"/>
  <c r="R17" i="4" s="1"/>
  <c r="J11" i="7"/>
  <c r="P11" i="4"/>
  <c r="O23" i="4"/>
  <c r="M13" i="6" s="1"/>
  <c r="M15" i="6" s="1"/>
  <c r="P16" i="4"/>
  <c r="Q5" i="4"/>
  <c r="I10" i="7"/>
  <c r="I14" i="7"/>
  <c r="I24" i="6"/>
  <c r="J22" i="6"/>
  <c r="J23" i="6" s="1"/>
  <c r="J26" i="6" s="1"/>
  <c r="M13" i="7" l="1"/>
  <c r="M27" i="6"/>
  <c r="M28" i="6" s="1"/>
  <c r="L13" i="7"/>
  <c r="L27" i="6"/>
  <c r="L28" i="6" s="1"/>
  <c r="L21" i="6"/>
  <c r="K11" i="7"/>
  <c r="J10" i="7"/>
  <c r="J14" i="7"/>
  <c r="K22" i="6"/>
  <c r="K23" i="6" s="1"/>
  <c r="K26" i="6" s="1"/>
  <c r="J24" i="6"/>
  <c r="Q20" i="4"/>
  <c r="R13" i="4"/>
  <c r="N12" i="7"/>
  <c r="R5" i="4"/>
  <c r="Q16" i="4"/>
  <c r="S7" i="4"/>
  <c r="S17" i="4" s="1"/>
  <c r="P18" i="4"/>
  <c r="Q9" i="4"/>
  <c r="Q11" i="4"/>
  <c r="M21" i="6"/>
  <c r="O6" i="6"/>
  <c r="O7" i="6"/>
  <c r="O9" i="6" s="1"/>
  <c r="P23" i="4" l="1"/>
  <c r="N13" i="6" s="1"/>
  <c r="N15" i="6" s="1"/>
  <c r="L11" i="7"/>
  <c r="O12" i="7"/>
  <c r="T7" i="4"/>
  <c r="T17" i="4" s="1"/>
  <c r="P7" i="6"/>
  <c r="P9" i="6" s="1"/>
  <c r="P6" i="6"/>
  <c r="S5" i="4"/>
  <c r="R16" i="4"/>
  <c r="R11" i="4"/>
  <c r="L22" i="6"/>
  <c r="L23" i="6" s="1"/>
  <c r="L26" i="6" s="1"/>
  <c r="K10" i="7"/>
  <c r="K24" i="6"/>
  <c r="K14" i="7"/>
  <c r="Q18" i="4"/>
  <c r="R9" i="4"/>
  <c r="S13" i="4"/>
  <c r="R20" i="4"/>
  <c r="N13" i="7" l="1"/>
  <c r="N27" i="6"/>
  <c r="N28" i="6" s="1"/>
  <c r="N21" i="6"/>
  <c r="Q23" i="4"/>
  <c r="O13" i="6" s="1"/>
  <c r="O15" i="6" s="1"/>
  <c r="M11" i="7"/>
  <c r="R18" i="4"/>
  <c r="S9" i="4"/>
  <c r="S16" i="4"/>
  <c r="T5" i="4"/>
  <c r="P12" i="7"/>
  <c r="U7" i="4"/>
  <c r="U17" i="4" s="1"/>
  <c r="S20" i="4"/>
  <c r="T13" i="4"/>
  <c r="Q6" i="6"/>
  <c r="Q7" i="6"/>
  <c r="Q9" i="6" s="1"/>
  <c r="M22" i="6"/>
  <c r="M23" i="6" s="1"/>
  <c r="M26" i="6" s="1"/>
  <c r="L14" i="7"/>
  <c r="L24" i="6"/>
  <c r="L10" i="7"/>
  <c r="S11" i="4"/>
  <c r="O13" i="7" l="1"/>
  <c r="O27" i="6"/>
  <c r="O28" i="6" s="1"/>
  <c r="O21" i="6"/>
  <c r="R23" i="4"/>
  <c r="P13" i="6" s="1"/>
  <c r="P15" i="6" s="1"/>
  <c r="N11" i="7"/>
  <c r="S18" i="4"/>
  <c r="T9" i="4"/>
  <c r="N22" i="6"/>
  <c r="N23" i="6" s="1"/>
  <c r="N26" i="6" s="1"/>
  <c r="M14" i="7"/>
  <c r="M24" i="6"/>
  <c r="M10" i="7"/>
  <c r="T11" i="4"/>
  <c r="T20" i="4"/>
  <c r="U13" i="4"/>
  <c r="V7" i="4"/>
  <c r="V17" i="4" s="1"/>
  <c r="T16" i="4"/>
  <c r="U5" i="4"/>
  <c r="Q12" i="7"/>
  <c r="R6" i="6"/>
  <c r="R7" i="6"/>
  <c r="R9" i="6" s="1"/>
  <c r="P13" i="7" l="1"/>
  <c r="P27" i="6"/>
  <c r="P28" i="6" s="1"/>
  <c r="P21" i="6"/>
  <c r="S23" i="4"/>
  <c r="Q13" i="6" s="1"/>
  <c r="Q15" i="6" s="1"/>
  <c r="Q27" i="6" s="1"/>
  <c r="Q28" i="6" s="1"/>
  <c r="O11" i="7"/>
  <c r="Q13" i="7"/>
  <c r="Q21" i="6"/>
  <c r="W7" i="4"/>
  <c r="W17" i="4" s="1"/>
  <c r="V13" i="4"/>
  <c r="U20" i="4"/>
  <c r="O22" i="6"/>
  <c r="O23" i="6" s="1"/>
  <c r="O26" i="6" s="1"/>
  <c r="N14" i="7"/>
  <c r="N24" i="6"/>
  <c r="N10" i="7"/>
  <c r="U16" i="4"/>
  <c r="V5" i="4"/>
  <c r="U11" i="4"/>
  <c r="S6" i="6"/>
  <c r="S7" i="6"/>
  <c r="S9" i="6" s="1"/>
  <c r="T18" i="4"/>
  <c r="U9" i="4"/>
  <c r="R12" i="7"/>
  <c r="T23" i="4" l="1"/>
  <c r="R13" i="6" s="1"/>
  <c r="R15" i="6" s="1"/>
  <c r="P11" i="7"/>
  <c r="V11" i="4"/>
  <c r="S12" i="7"/>
  <c r="T6" i="6"/>
  <c r="T7" i="6"/>
  <c r="T9" i="6" s="1"/>
  <c r="V20" i="4"/>
  <c r="W13" i="4"/>
  <c r="V16" i="4"/>
  <c r="W5" i="4"/>
  <c r="U18" i="4"/>
  <c r="U23" i="4" s="1"/>
  <c r="S13" i="6" s="1"/>
  <c r="S15" i="6" s="1"/>
  <c r="S27" i="6" s="1"/>
  <c r="S28" i="6" s="1"/>
  <c r="V9" i="4"/>
  <c r="O14" i="7"/>
  <c r="O24" i="6"/>
  <c r="O10" i="7"/>
  <c r="P22" i="6"/>
  <c r="P23" i="6" s="1"/>
  <c r="P26" i="6" s="1"/>
  <c r="X7" i="4"/>
  <c r="X17" i="4" s="1"/>
  <c r="R21" i="6"/>
  <c r="R13" i="7" l="1"/>
  <c r="R27" i="6"/>
  <c r="R28" i="6" s="1"/>
  <c r="Q11" i="7"/>
  <c r="S13" i="7"/>
  <c r="S21" i="6"/>
  <c r="W9" i="4"/>
  <c r="V18" i="4"/>
  <c r="X5" i="4"/>
  <c r="W16" i="4"/>
  <c r="T12" i="7"/>
  <c r="P10" i="7"/>
  <c r="Q22" i="6"/>
  <c r="Q23" i="6" s="1"/>
  <c r="Q26" i="6" s="1"/>
  <c r="P14" i="7"/>
  <c r="P24" i="6"/>
  <c r="V23" i="4"/>
  <c r="T13" i="6" s="1"/>
  <c r="T15" i="6" s="1"/>
  <c r="W11" i="4"/>
  <c r="Y7" i="4"/>
  <c r="Y17" i="4" s="1"/>
  <c r="U6" i="6"/>
  <c r="U7" i="6"/>
  <c r="U9" i="6" s="1"/>
  <c r="W20" i="4"/>
  <c r="X13" i="4"/>
  <c r="T13" i="7" l="1"/>
  <c r="T27" i="6"/>
  <c r="T28" i="6" s="1"/>
  <c r="R11" i="7"/>
  <c r="X16" i="4"/>
  <c r="Y5" i="4"/>
  <c r="U12" i="7"/>
  <c r="X11" i="4"/>
  <c r="V7" i="6"/>
  <c r="V9" i="6" s="1"/>
  <c r="V6" i="6"/>
  <c r="Z7" i="4"/>
  <c r="Z17" i="4" s="1"/>
  <c r="X9" i="4"/>
  <c r="W18" i="4"/>
  <c r="Q10" i="7"/>
  <c r="Q14" i="7"/>
  <c r="Q24" i="6"/>
  <c r="R22" i="6"/>
  <c r="R23" i="6" s="1"/>
  <c r="R26" i="6" s="1"/>
  <c r="X20" i="4"/>
  <c r="Y13" i="4"/>
  <c r="T21" i="6"/>
  <c r="W23" i="4" l="1"/>
  <c r="U13" i="6" s="1"/>
  <c r="U15" i="6" s="1"/>
  <c r="S11" i="7"/>
  <c r="Y20" i="4"/>
  <c r="Z13" i="4"/>
  <c r="Y11" i="4"/>
  <c r="U21" i="6"/>
  <c r="Z5" i="4"/>
  <c r="Y16" i="4"/>
  <c r="AA7" i="4"/>
  <c r="AA17" i="4" s="1"/>
  <c r="W6" i="6"/>
  <c r="W7" i="6"/>
  <c r="W9" i="6" s="1"/>
  <c r="X18" i="4"/>
  <c r="X23" i="4" s="1"/>
  <c r="V13" i="6" s="1"/>
  <c r="V15" i="6" s="1"/>
  <c r="V27" i="6" s="1"/>
  <c r="Y9" i="4"/>
  <c r="R10" i="7"/>
  <c r="R14" i="7"/>
  <c r="S22" i="6"/>
  <c r="S23" i="6" s="1"/>
  <c r="S26" i="6" s="1"/>
  <c r="R24" i="6"/>
  <c r="V12" i="7"/>
  <c r="V26" i="6" l="1"/>
  <c r="V28" i="6"/>
  <c r="U13" i="7"/>
  <c r="U27" i="6"/>
  <c r="T11" i="7"/>
  <c r="V13" i="7"/>
  <c r="V21" i="6"/>
  <c r="Z11" i="4"/>
  <c r="T22" i="6"/>
  <c r="T23" i="6" s="1"/>
  <c r="T26" i="6" s="1"/>
  <c r="S10" i="7"/>
  <c r="S14" i="7"/>
  <c r="S24" i="6"/>
  <c r="X7" i="6"/>
  <c r="X9" i="6" s="1"/>
  <c r="X6" i="6"/>
  <c r="Z16" i="4"/>
  <c r="AA5" i="4"/>
  <c r="AA13" i="4"/>
  <c r="Z20" i="4"/>
  <c r="AB7" i="4"/>
  <c r="AB17" i="4" s="1"/>
  <c r="W12" i="7"/>
  <c r="Y18" i="4"/>
  <c r="Z9" i="4"/>
  <c r="Y23" i="4"/>
  <c r="W13" i="6" s="1"/>
  <c r="W15" i="6" s="1"/>
  <c r="U26" i="6" l="1"/>
  <c r="U28" i="6"/>
  <c r="W13" i="7"/>
  <c r="W27" i="6"/>
  <c r="U11" i="7"/>
  <c r="AA9" i="4"/>
  <c r="Z18" i="4"/>
  <c r="AA20" i="4"/>
  <c r="AB13" i="4"/>
  <c r="AA11" i="4"/>
  <c r="W21" i="6"/>
  <c r="U22" i="6"/>
  <c r="U23" i="6" s="1"/>
  <c r="T14" i="7"/>
  <c r="T24" i="6"/>
  <c r="T10" i="7"/>
  <c r="AA16" i="4"/>
  <c r="AB5" i="4"/>
  <c r="AC7" i="4"/>
  <c r="AC17" i="4" s="1"/>
  <c r="Y7" i="6"/>
  <c r="Y9" i="6" s="1"/>
  <c r="Y6" i="6"/>
  <c r="X12" i="7"/>
  <c r="W26" i="6" l="1"/>
  <c r="W28" i="6"/>
  <c r="Z23" i="4"/>
  <c r="X13" i="6" s="1"/>
  <c r="X15" i="6" s="1"/>
  <c r="V11" i="7"/>
  <c r="X21" i="6"/>
  <c r="V22" i="6"/>
  <c r="V23" i="6" s="1"/>
  <c r="U14" i="7"/>
  <c r="U24" i="6"/>
  <c r="U10" i="7"/>
  <c r="AB16" i="4"/>
  <c r="AC5" i="4"/>
  <c r="AC16" i="4" s="1"/>
  <c r="AB11" i="4"/>
  <c r="Z6" i="6"/>
  <c r="Z7" i="6"/>
  <c r="Z9" i="6" s="1"/>
  <c r="AB20" i="4"/>
  <c r="AC13" i="4"/>
  <c r="AC20" i="4" s="1"/>
  <c r="Y12" i="7"/>
  <c r="AA18" i="4"/>
  <c r="AB9" i="4"/>
  <c r="X13" i="7" l="1"/>
  <c r="X27" i="6"/>
  <c r="AA23" i="4"/>
  <c r="Y13" i="6" s="1"/>
  <c r="Y15" i="6" s="1"/>
  <c r="W11" i="7"/>
  <c r="Z12" i="7"/>
  <c r="AB18" i="4"/>
  <c r="AC9" i="4"/>
  <c r="AC18" i="4" s="1"/>
  <c r="AC23" i="4" s="1"/>
  <c r="Y21" i="6"/>
  <c r="AC11" i="4"/>
  <c r="W22" i="6"/>
  <c r="W23" i="6" s="1"/>
  <c r="V14" i="7"/>
  <c r="V24" i="6"/>
  <c r="V10" i="7"/>
  <c r="Y13" i="7" l="1"/>
  <c r="Y27" i="6"/>
  <c r="X26" i="6"/>
  <c r="X28" i="6"/>
  <c r="AB23" i="4"/>
  <c r="Z13" i="6" s="1"/>
  <c r="Z15" i="6" s="1"/>
  <c r="Z27" i="6" s="1"/>
  <c r="X11" i="7"/>
  <c r="Z13" i="7"/>
  <c r="Z21" i="6"/>
  <c r="W14" i="7"/>
  <c r="W24" i="6"/>
  <c r="W10" i="7"/>
  <c r="X22" i="6"/>
  <c r="X23" i="6" s="1"/>
  <c r="Z26" i="6" l="1"/>
  <c r="Z28" i="6"/>
  <c r="Y26" i="6"/>
  <c r="Y28" i="6"/>
  <c r="Y11" i="7"/>
  <c r="X10" i="7"/>
  <c r="Y22" i="6"/>
  <c r="Y23" i="6" s="1"/>
  <c r="X14" i="7"/>
  <c r="X24" i="6"/>
  <c r="Z11" i="7" l="1"/>
  <c r="O4" i="7"/>
  <c r="Y10" i="7"/>
  <c r="Y14" i="7"/>
  <c r="Y24" i="6"/>
  <c r="Z22" i="6"/>
  <c r="Z23" i="6" s="1"/>
  <c r="Z10" i="7" l="1"/>
  <c r="K4" i="7"/>
  <c r="Z24" i="6"/>
  <c r="Z14" i="7"/>
</calcChain>
</file>

<file path=xl/sharedStrings.xml><?xml version="1.0" encoding="utf-8"?>
<sst xmlns="http://schemas.openxmlformats.org/spreadsheetml/2006/main" count="336" uniqueCount="199">
  <si>
    <t xml:space="preserve">  1  INPUTS</t>
  </si>
  <si>
    <t>Set all model assumptions — opening cash, revenue growth, payroll burden, collection days, interest rates</t>
  </si>
  <si>
    <t xml:space="preserve">  2  HEADCOUNT</t>
  </si>
  <si>
    <t>Role-level hiring plan — every hire date drives monthly payroll using burden % from Inputs</t>
  </si>
  <si>
    <t xml:space="preserve">  3  OPEX</t>
  </si>
  <si>
    <t>Non-headcount operating costs — each line grows at its own rate from Inputs start date</t>
  </si>
  <si>
    <t xml:space="preserve">  4  FINANCING</t>
  </si>
  <si>
    <t>Schedule equity rounds, SAFEs, convertible notes &amp; loans — cash hits Cash Flow on close date</t>
  </si>
  <si>
    <t xml:space="preserve">  5  CASH FLOW</t>
  </si>
  <si>
    <t>Consolidated model — inflows, outflows, net burn, ending cash, runway months &amp; burn multiple</t>
  </si>
  <si>
    <t xml:space="preserve">  6  SUMMARY</t>
  </si>
  <si>
    <t xml:space="preserve">  COLOR LEGEND</t>
  </si>
  <si>
    <t xml:space="preserve">  ■  Blue text   —   Hardcoded input — change these to customise the model</t>
  </si>
  <si>
    <t xml:space="preserve">  ■  Black text   —   Formula / calculated cell — do not overwrite</t>
  </si>
  <si>
    <t xml:space="preserve">  ■  Green text   —   Cross-sheet link — pulling data from another tab</t>
  </si>
  <si>
    <t xml:space="preserve">  ■  Yellow bg   —   Key assumption requiring attention</t>
  </si>
  <si>
    <t xml:space="preserve">  GENERAL</t>
  </si>
  <si>
    <t>Model Start Month</t>
  </si>
  <si>
    <t>Jan-2026</t>
  </si>
  <si>
    <t>Number of Forecast Months</t>
  </si>
  <si>
    <t>Opening Cash Balance ($)</t>
  </si>
  <si>
    <t>Currency</t>
  </si>
  <si>
    <t xml:space="preserve">  REVENUE</t>
  </si>
  <si>
    <t>Month 1 Revenue ($)</t>
  </si>
  <si>
    <t>Monthly Revenue Growth Rate</t>
  </si>
  <si>
    <t>Avg Collection Days</t>
  </si>
  <si>
    <t>Bad Debt Rate (%)</t>
  </si>
  <si>
    <t xml:space="preserve">  PAYROLL</t>
  </si>
  <si>
    <t>Employer Payroll Burden %</t>
  </si>
  <si>
    <t>Annual Salary Increase %</t>
  </si>
  <si>
    <t>Payroll Pay Frequency</t>
  </si>
  <si>
    <t>Monthly</t>
  </si>
  <si>
    <t xml:space="preserve">  PAYABLES &amp; FINANCING</t>
  </si>
  <si>
    <t>Avg Payables Days</t>
  </si>
  <si>
    <t>Loan Interest Rate (Annual %)</t>
  </si>
  <si>
    <t>Min Cash Buffer ($)</t>
  </si>
  <si>
    <t>HEADCOUNT PLAN</t>
  </si>
  <si>
    <t>Department</t>
  </si>
  <si>
    <t>Role / Title</t>
  </si>
  <si>
    <t>Start Month</t>
  </si>
  <si>
    <t>End Month</t>
  </si>
  <si>
    <t>Annual Salary ($)</t>
  </si>
  <si>
    <t>Monthly Gross</t>
  </si>
  <si>
    <t>Monthly + Burden</t>
  </si>
  <si>
    <t>Feb-2026</t>
  </si>
  <si>
    <t>Mar-2026</t>
  </si>
  <si>
    <t>Apr-2026</t>
  </si>
  <si>
    <t>May-2026</t>
  </si>
  <si>
    <t>Jun-2026</t>
  </si>
  <si>
    <t>Jul-2026</t>
  </si>
  <si>
    <t>Aug-2026</t>
  </si>
  <si>
    <t>Sep-2026</t>
  </si>
  <si>
    <t>Oct-2026</t>
  </si>
  <si>
    <t>Nov-2026</t>
  </si>
  <si>
    <t>Dec-2026</t>
  </si>
  <si>
    <t>Jan-2027</t>
  </si>
  <si>
    <t>Feb-2027</t>
  </si>
  <si>
    <t>Mar-2027</t>
  </si>
  <si>
    <t>Apr-2027</t>
  </si>
  <si>
    <t>May-2027</t>
  </si>
  <si>
    <t>Jun-2027</t>
  </si>
  <si>
    <t>Jul-2027</t>
  </si>
  <si>
    <t>Aug-2027</t>
  </si>
  <si>
    <t>Sep-2027</t>
  </si>
  <si>
    <t>Oct-2027</t>
  </si>
  <si>
    <t>Nov-2027</t>
  </si>
  <si>
    <t>Dec-2027</t>
  </si>
  <si>
    <t>Engineering</t>
  </si>
  <si>
    <t>CTO</t>
  </si>
  <si>
    <t>—</t>
  </si>
  <si>
    <t>Senior Engineer</t>
  </si>
  <si>
    <t>Junior Engineer</t>
  </si>
  <si>
    <t>Product</t>
  </si>
  <si>
    <t>Head of Product</t>
  </si>
  <si>
    <t>Product Manager</t>
  </si>
  <si>
    <t>Sales</t>
  </si>
  <si>
    <t>VP of Sales</t>
  </si>
  <si>
    <t>Account Executive</t>
  </si>
  <si>
    <t>Marketing</t>
  </si>
  <si>
    <t>Growth Lead</t>
  </si>
  <si>
    <t>G&amp;A</t>
  </si>
  <si>
    <t>CEO</t>
  </si>
  <si>
    <t>Finance Manager</t>
  </si>
  <si>
    <t xml:space="preserve">  Subtotal — Engineering</t>
  </si>
  <si>
    <t xml:space="preserve">  Subtotal — Product</t>
  </si>
  <si>
    <t xml:space="preserve">  Subtotal — Sales</t>
  </si>
  <si>
    <t xml:space="preserve">  Subtotal — Marketing</t>
  </si>
  <si>
    <t xml:space="preserve">  Subtotal — G&amp;A</t>
  </si>
  <si>
    <t>OPERATING EXPENSES (Non-Headcount)</t>
  </si>
  <si>
    <t>Category</t>
  </si>
  <si>
    <t>Description</t>
  </si>
  <si>
    <t>Month 1 Cost ($)</t>
  </si>
  <si>
    <t>MoM Growth (%)</t>
  </si>
  <si>
    <t>Infrastructure</t>
  </si>
  <si>
    <t>Cloud / AWS / GCP</t>
  </si>
  <si>
    <t>SaaS Tools &amp; Licenses</t>
  </si>
  <si>
    <t>Paid Ads / Acquisition</t>
  </si>
  <si>
    <t>Events &amp; Conferences</t>
  </si>
  <si>
    <t>Occupancy</t>
  </si>
  <si>
    <t>Office Rent</t>
  </si>
  <si>
    <t>Utilities &amp; Supplies</t>
  </si>
  <si>
    <t>Professional</t>
  </si>
  <si>
    <t>Legal &amp; Compliance</t>
  </si>
  <si>
    <t>Accounting / Audit</t>
  </si>
  <si>
    <t>T&amp;E</t>
  </si>
  <si>
    <t>Travel &amp; Entertainment</t>
  </si>
  <si>
    <t>Other</t>
  </si>
  <si>
    <t>Miscellaneous</t>
  </si>
  <si>
    <t xml:space="preserve">  Subtotal — Infrastructure</t>
  </si>
  <si>
    <t xml:space="preserve">  Subtotal — Occupancy</t>
  </si>
  <si>
    <t xml:space="preserve">  Subtotal — Professional</t>
  </si>
  <si>
    <t xml:space="preserve">  Subtotal — T&amp;E</t>
  </si>
  <si>
    <t xml:space="preserve">  Subtotal — Other</t>
  </si>
  <si>
    <t>FINANCING EVENTS</t>
  </si>
  <si>
    <t>Event Name</t>
  </si>
  <si>
    <t>Type</t>
  </si>
  <si>
    <t>Close Month</t>
  </si>
  <si>
    <t>Gross Amount ($)</t>
  </si>
  <si>
    <t>Fees / Costs ($)</t>
  </si>
  <si>
    <t>Net Cash In ($)</t>
  </si>
  <si>
    <t>Notes</t>
  </si>
  <si>
    <t>Seed Round</t>
  </si>
  <si>
    <t>Equity</t>
  </si>
  <si>
    <t>Loan</t>
  </si>
  <si>
    <t>Convertible Note</t>
  </si>
  <si>
    <t>Series A</t>
  </si>
  <si>
    <t>CASH FLOW MODEL</t>
  </si>
  <si>
    <t>LINE ITEM</t>
  </si>
  <si>
    <t xml:space="preserve">  CASH INFLOWS</t>
  </si>
  <si>
    <t xml:space="preserve">  TOTAL CASH INFLOWS ($)</t>
  </si>
  <si>
    <t xml:space="preserve">  CASH OUTFLOWS</t>
  </si>
  <si>
    <t xml:space="preserve">  TOTAL CASH OUTFLOWS ($)</t>
  </si>
  <si>
    <t xml:space="preserve">  FINANCING</t>
  </si>
  <si>
    <t xml:space="preserve">  CASH POSITION</t>
  </si>
  <si>
    <t xml:space="preserve">  Net Cash Flow ($)  [Inflows − Outflows + Financing]</t>
  </si>
  <si>
    <t xml:space="preserve">  ENDING CASH BALANCE ($)</t>
  </si>
  <si>
    <t>SUMMARY DASHBOARD</t>
  </si>
  <si>
    <t>Opening Cash</t>
  </si>
  <si>
    <t>Total Funding</t>
  </si>
  <si>
    <t>Cash — Month 24</t>
  </si>
  <si>
    <t>Avg Monthly Burn</t>
  </si>
  <si>
    <t>Month</t>
  </si>
  <si>
    <t>Ending Cash ($)</t>
  </si>
  <si>
    <t>Net Burn ($)</t>
  </si>
  <si>
    <t>Total Inflows ($)</t>
  </si>
  <si>
    <t>Total Outflows ($)</t>
  </si>
  <si>
    <t>Runway (months)</t>
  </si>
  <si>
    <t>No. of Personnnel</t>
  </si>
  <si>
    <t xml:space="preserve">  TOTAL MONTHLY PAYROLL (incl. burden) </t>
  </si>
  <si>
    <t xml:space="preserve">  TOTAL MONTHLY OPEX  </t>
  </si>
  <si>
    <t xml:space="preserve">  TOTAL FINANCING INFLOWS </t>
  </si>
  <si>
    <t xml:space="preserve">  Revenue (MRR) ($) </t>
  </si>
  <si>
    <t xml:space="preserve">  Cash Collections ($)  </t>
  </si>
  <si>
    <t xml:space="preserve">  Other Income / Grants ($)  </t>
  </si>
  <si>
    <t xml:space="preserve">  Payroll &amp; Burden ($) </t>
  </si>
  <si>
    <t xml:space="preserve">  Opex Payments ($)  </t>
  </si>
  <si>
    <t xml:space="preserve">  Loan Repayments ($) </t>
  </si>
  <si>
    <t xml:space="preserve">  Net Financing Inflows ($) </t>
  </si>
  <si>
    <t xml:space="preserve">  Beginning Cash Balance ($)  </t>
  </si>
  <si>
    <t xml:space="preserve">  Cash Buffer Check  </t>
  </si>
  <si>
    <t xml:space="preserve">  Months of Runway </t>
  </si>
  <si>
    <t xml:space="preserve">  Monthly Net Burn Rate ($)  </t>
  </si>
  <si>
    <t xml:space="preserve">  Burn Multiple  </t>
  </si>
  <si>
    <t xml:space="preserve">  CHART DATA </t>
  </si>
  <si>
    <t>Dashboard — KPI cards, ending cash line chart</t>
  </si>
  <si>
    <t>STARTUP CASH RUNWAY MODEL</t>
  </si>
  <si>
    <t xml:space="preserve">INPUTS — All blue cells are assumptions. </t>
  </si>
  <si>
    <t>Bank Loan</t>
  </si>
  <si>
    <t>The Cash Flow sheet flags months that fall below the minimum cash buffer.</t>
  </si>
  <si>
    <t>Check the buffer</t>
  </si>
  <si>
    <t>Set Inputs first; downstream sheets pull from those assumptions.</t>
  </si>
  <si>
    <t>Work left to right</t>
  </si>
  <si>
    <t>Yellow backgrounds flag key assumptions that need attention.</t>
  </si>
  <si>
    <t>Watch yellow cells</t>
  </si>
  <si>
    <t>Blue text is input; black is formula, green is a cross-sheet link — don’t overwrite.</t>
  </si>
  <si>
    <t>Edit blue cells only</t>
  </si>
  <si>
    <t>Guideline</t>
  </si>
  <si>
    <t>Important Guidelines</t>
  </si>
  <si>
    <t>When each round or loan lands as cash in the Cash Flow sheet.</t>
  </si>
  <si>
    <t>Financing close month</t>
  </si>
  <si>
    <t>When each hire begins; drives when their payroll hits cash flow.</t>
  </si>
  <si>
    <t>Headcount start dates</t>
  </si>
  <si>
    <t>Timing lag between billing and cash, and between costs and payment.</t>
  </si>
  <si>
    <t>Avg Collection / Payables Days</t>
  </si>
  <si>
    <t>Taxes and benefits added on top of gross salaries.</t>
  </si>
  <si>
    <t>Month-over-month growth applied to Month 1 revenue.</t>
  </si>
  <si>
    <t>Cash on hand at the start of the model.</t>
  </si>
  <si>
    <t>Opening Cash Balance</t>
  </si>
  <si>
    <t>Metric</t>
  </si>
  <si>
    <t>What Each Input Means</t>
  </si>
  <si>
    <t>Review the “Cash Flow” model and the “Summary” dashboard for runway and burn</t>
  </si>
  <si>
    <t>Schedule equity, SAFE, note, and loan events on the “Financing” sheet</t>
  </si>
  <si>
    <t>Enter non-headcount costs and growth rates on the “Opex” sheet</t>
  </si>
  <si>
    <t>Fill the “Headcount” plan — each role’s start date drives monthly payroll</t>
  </si>
  <si>
    <t>Open the “Inputs” sheet and set all model assumptions (blue cells)</t>
  </si>
  <si>
    <t>Details</t>
  </si>
  <si>
    <t>Steps</t>
  </si>
  <si>
    <t>Step-by-Step Instructions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</si>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</sst>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\$#,##0;&quot;($&quot;#,##0\);\-"/>
    <numFmt numFmtId="166" formatCode="\-"/>
    <numFmt numFmtId="167" formatCode="0.0;\(0.0\);\-"/>
    <numFmt numFmtId="168" formatCode="0.0\x;\(0.0&quot;x)&quot;;\-"/>
    <numFmt numFmtId="169" formatCode="0.0"/>
    <numFmt numFmtId="170" formatCode="#,##0;&quot;(&quot;#,##0\);\-"/>
  </numFmts>
  <fonts count="21" x14ac:knownFonts="1">
    <font>
      <sz val="11"/>
      <color theme="1"/>
      <name val="Calibri"/>
      <family val="2"/>
      <charset val="1"/>
    </font>
    <font>
      <b/>
      <sz val="26"/>
      <color rgb="FFFFFFFF"/>
      <name val="Arial"/>
      <family val="2"/>
    </font>
    <font>
      <b/>
      <sz val="11"/>
      <color rgb="FFFFFFFF"/>
      <name val="Arial"/>
      <family val="2"/>
    </font>
    <font>
      <sz val="9"/>
      <color rgb="FF000000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b/>
      <sz val="13"/>
      <color rgb="FF1B2A4A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4"/>
      <color rgb="FF1B2A4A"/>
      <name val="Arial"/>
      <family val="2"/>
    </font>
    <font>
      <sz val="9"/>
      <color rgb="FF555555"/>
      <name val="Arial"/>
      <family val="2"/>
    </font>
    <font>
      <b/>
      <sz val="9"/>
      <color rgb="FFFFFFFF"/>
      <name val="Arial"/>
      <family val="2"/>
    </font>
    <font>
      <sz val="10"/>
      <color rgb="FFCCCCCC"/>
      <name val="Arial"/>
      <family val="2"/>
    </font>
    <font>
      <b/>
      <sz val="10"/>
      <color rgb="FFFFFFFF"/>
      <name val="Arial"/>
      <family val="2"/>
    </font>
    <font>
      <sz val="10"/>
      <color rgb="FF008000"/>
      <name val="Arial"/>
      <family val="2"/>
    </font>
    <font>
      <b/>
      <sz val="10"/>
      <color rgb="FF000000"/>
      <name val="Arial"/>
      <family val="2"/>
    </font>
    <font>
      <b/>
      <sz val="16"/>
      <color rgb="FF1B2A4A"/>
      <name val="Arial"/>
      <family val="2"/>
    </font>
    <font>
      <sz val="8"/>
      <color rgb="FF888888"/>
      <name val="Arial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4"/>
      <color theme="1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1B2A4A"/>
        <bgColor rgb="FF4A235A"/>
      </patternFill>
    </fill>
    <fill>
      <patternFill patternType="solid">
        <fgColor rgb="FF2F80ED"/>
        <bgColor rgb="FF2980B9"/>
      </patternFill>
    </fill>
    <fill>
      <patternFill patternType="solid">
        <fgColor rgb="FFF2F4F8"/>
        <bgColor rgb="FFEBF5FB"/>
      </patternFill>
    </fill>
    <fill>
      <patternFill patternType="solid">
        <fgColor rgb="FFFFF9C4"/>
        <bgColor rgb="FFFEF9E7"/>
      </patternFill>
    </fill>
    <fill>
      <patternFill patternType="solid">
        <fgColor rgb="FF2D4B7A"/>
        <bgColor rgb="FF3E6595"/>
      </patternFill>
    </fill>
    <fill>
      <patternFill patternType="solid">
        <fgColor rgb="FFFFFFFF"/>
        <bgColor rgb="FFFDFEFE"/>
      </patternFill>
    </fill>
    <fill>
      <patternFill patternType="solid">
        <fgColor rgb="FFEBF5FB"/>
        <bgColor rgb="FFF2F4F8"/>
      </patternFill>
    </fill>
    <fill>
      <patternFill patternType="solid">
        <fgColor rgb="FFEBF9F1"/>
        <bgColor rgb="FFEBF5FB"/>
      </patternFill>
    </fill>
    <fill>
      <patternFill patternType="solid">
        <fgColor rgb="FFFEF9E7"/>
        <bgColor rgb="FFFDFEFE"/>
      </patternFill>
    </fill>
    <fill>
      <patternFill patternType="solid">
        <fgColor rgb="FFF5EEF8"/>
        <bgColor rgb="FFF2F4F8"/>
      </patternFill>
    </fill>
    <fill>
      <patternFill patternType="solid">
        <fgColor rgb="FFFDFEFE"/>
        <bgColor rgb="FFFFFFFF"/>
      </patternFill>
    </fill>
    <fill>
      <patternFill patternType="solid">
        <fgColor rgb="FFD6E4F0"/>
        <bgColor rgb="FFD9D9D9"/>
      </patternFill>
    </fill>
    <fill>
      <patternFill patternType="solid">
        <fgColor rgb="FF4A235A"/>
        <bgColor rgb="FF1B2A4A"/>
      </patternFill>
    </fill>
    <fill>
      <patternFill patternType="solid">
        <fgColor theme="0"/>
        <bgColor rgb="FFEBF5FB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DFEFE"/>
      </patternFill>
    </fill>
    <fill>
      <patternFill patternType="solid">
        <fgColor theme="4" tint="-0.499984740745262"/>
        <bgColor rgb="FF333399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7" fillId="4" borderId="2" xfId="0" applyFont="1" applyFill="1" applyBorder="1" applyAlignment="1">
      <alignment horizontal="left" vertical="center" indent="1"/>
    </xf>
    <xf numFmtId="0" fontId="8" fillId="7" borderId="2" xfId="0" applyFont="1" applyFill="1" applyBorder="1" applyAlignment="1">
      <alignment horizontal="right" vertical="center"/>
    </xf>
    <xf numFmtId="0" fontId="7" fillId="7" borderId="2" xfId="0" applyFont="1" applyFill="1" applyBorder="1" applyAlignment="1">
      <alignment horizontal="left" vertical="center" indent="1"/>
    </xf>
    <xf numFmtId="1" fontId="8" fillId="7" borderId="2" xfId="0" applyNumberFormat="1" applyFont="1" applyFill="1" applyBorder="1" applyAlignment="1">
      <alignment horizontal="right" vertical="center"/>
    </xf>
    <xf numFmtId="0" fontId="7" fillId="5" borderId="2" xfId="0" applyFont="1" applyFill="1" applyBorder="1" applyAlignment="1">
      <alignment horizontal="left" vertical="center" indent="1"/>
    </xf>
    <xf numFmtId="164" fontId="8" fillId="5" borderId="2" xfId="0" applyNumberFormat="1" applyFont="1" applyFill="1" applyBorder="1" applyAlignment="1">
      <alignment horizontal="right" vertical="center"/>
    </xf>
    <xf numFmtId="164" fontId="8" fillId="7" borderId="2" xfId="0" applyNumberFormat="1" applyFont="1" applyFill="1" applyBorder="1" applyAlignment="1">
      <alignment horizontal="right"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left" vertical="center" indent="1"/>
    </xf>
    <xf numFmtId="0" fontId="8" fillId="8" borderId="2" xfId="0" applyFont="1" applyFill="1" applyBorder="1" applyAlignment="1">
      <alignment horizontal="center" vertical="center" wrapText="1"/>
    </xf>
    <xf numFmtId="1" fontId="8" fillId="8" borderId="2" xfId="0" applyNumberFormat="1" applyFont="1" applyFill="1" applyBorder="1" applyAlignment="1">
      <alignment horizontal="center" vertical="center" wrapText="1"/>
    </xf>
    <xf numFmtId="166" fontId="12" fillId="8" borderId="2" xfId="0" applyNumberFormat="1" applyFont="1" applyFill="1" applyBorder="1" applyAlignment="1">
      <alignment horizontal="right" vertical="center"/>
    </xf>
    <xf numFmtId="0" fontId="8" fillId="9" borderId="2" xfId="0" applyFont="1" applyFill="1" applyBorder="1" applyAlignment="1">
      <alignment horizontal="left" vertical="center" indent="1"/>
    </xf>
    <xf numFmtId="0" fontId="8" fillId="9" borderId="2" xfId="0" applyFont="1" applyFill="1" applyBorder="1" applyAlignment="1">
      <alignment horizontal="center" vertical="center" wrapText="1"/>
    </xf>
    <xf numFmtId="1" fontId="8" fillId="9" borderId="2" xfId="0" applyNumberFormat="1" applyFont="1" applyFill="1" applyBorder="1" applyAlignment="1">
      <alignment horizontal="center" vertical="center" wrapText="1"/>
    </xf>
    <xf numFmtId="166" fontId="12" fillId="9" borderId="2" xfId="0" applyNumberFormat="1" applyFont="1" applyFill="1" applyBorder="1" applyAlignment="1">
      <alignment horizontal="right" vertical="center"/>
    </xf>
    <xf numFmtId="0" fontId="8" fillId="10" borderId="2" xfId="0" applyFont="1" applyFill="1" applyBorder="1" applyAlignment="1">
      <alignment horizontal="left" vertical="center" indent="1"/>
    </xf>
    <xf numFmtId="0" fontId="8" fillId="10" borderId="2" xfId="0" applyFont="1" applyFill="1" applyBorder="1" applyAlignment="1">
      <alignment horizontal="center" vertical="center" wrapText="1"/>
    </xf>
    <xf numFmtId="1" fontId="8" fillId="10" borderId="2" xfId="0" applyNumberFormat="1" applyFont="1" applyFill="1" applyBorder="1" applyAlignment="1">
      <alignment horizontal="center" vertical="center" wrapText="1"/>
    </xf>
    <xf numFmtId="166" fontId="12" fillId="10" borderId="2" xfId="0" applyNumberFormat="1" applyFont="1" applyFill="1" applyBorder="1" applyAlignment="1">
      <alignment horizontal="right" vertical="center"/>
    </xf>
    <xf numFmtId="0" fontId="8" fillId="11" borderId="2" xfId="0" applyFont="1" applyFill="1" applyBorder="1" applyAlignment="1">
      <alignment horizontal="left" vertical="center" indent="1"/>
    </xf>
    <xf numFmtId="0" fontId="8" fillId="11" borderId="2" xfId="0" applyFont="1" applyFill="1" applyBorder="1" applyAlignment="1">
      <alignment horizontal="center" vertical="center" wrapText="1"/>
    </xf>
    <xf numFmtId="1" fontId="8" fillId="11" borderId="2" xfId="0" applyNumberFormat="1" applyFont="1" applyFill="1" applyBorder="1" applyAlignment="1">
      <alignment horizontal="center" vertical="center" wrapText="1"/>
    </xf>
    <xf numFmtId="166" fontId="12" fillId="11" borderId="2" xfId="0" applyNumberFormat="1" applyFont="1" applyFill="1" applyBorder="1" applyAlignment="1">
      <alignment horizontal="right" vertical="center"/>
    </xf>
    <xf numFmtId="0" fontId="8" fillId="12" borderId="2" xfId="0" applyFont="1" applyFill="1" applyBorder="1" applyAlignment="1">
      <alignment horizontal="left" vertical="center" indent="1"/>
    </xf>
    <xf numFmtId="0" fontId="8" fillId="12" borderId="2" xfId="0" applyFont="1" applyFill="1" applyBorder="1" applyAlignment="1">
      <alignment horizontal="center" vertical="center" wrapText="1"/>
    </xf>
    <xf numFmtId="1" fontId="8" fillId="12" borderId="2" xfId="0" applyNumberFormat="1" applyFont="1" applyFill="1" applyBorder="1" applyAlignment="1">
      <alignment horizontal="center" vertical="center" wrapText="1"/>
    </xf>
    <xf numFmtId="166" fontId="12" fillId="12" borderId="2" xfId="0" applyNumberFormat="1" applyFont="1" applyFill="1" applyBorder="1" applyAlignment="1">
      <alignment horizontal="right" vertical="center"/>
    </xf>
    <xf numFmtId="164" fontId="8" fillId="8" borderId="2" xfId="0" applyNumberFormat="1" applyFont="1" applyFill="1" applyBorder="1" applyAlignment="1">
      <alignment horizontal="right" vertical="center"/>
    </xf>
    <xf numFmtId="164" fontId="8" fillId="9" borderId="2" xfId="0" applyNumberFormat="1" applyFont="1" applyFill="1" applyBorder="1" applyAlignment="1">
      <alignment horizontal="right" vertical="center"/>
    </xf>
    <xf numFmtId="164" fontId="8" fillId="10" borderId="2" xfId="0" applyNumberFormat="1" applyFont="1" applyFill="1" applyBorder="1" applyAlignment="1">
      <alignment horizontal="right" vertical="center"/>
    </xf>
    <xf numFmtId="164" fontId="8" fillId="11" borderId="2" xfId="0" applyNumberFormat="1" applyFont="1" applyFill="1" applyBorder="1" applyAlignment="1">
      <alignment horizontal="right" vertical="center"/>
    </xf>
    <xf numFmtId="164" fontId="8" fillId="12" borderId="2" xfId="0" applyNumberFormat="1" applyFont="1" applyFill="1" applyBorder="1" applyAlignment="1">
      <alignment horizontal="right" vertical="center"/>
    </xf>
    <xf numFmtId="0" fontId="8" fillId="4" borderId="2" xfId="0" applyFont="1" applyFill="1" applyBorder="1" applyAlignment="1">
      <alignment horizontal="left" vertical="center" indent="1"/>
    </xf>
    <xf numFmtId="164" fontId="8" fillId="4" borderId="2" xfId="0" applyNumberFormat="1" applyFont="1" applyFill="1" applyBorder="1" applyAlignment="1">
      <alignment horizontal="right" vertical="center"/>
    </xf>
    <xf numFmtId="0" fontId="8" fillId="9" borderId="2" xfId="0" applyFont="1" applyFill="1" applyBorder="1" applyAlignment="1">
      <alignment horizontal="right" vertical="center"/>
    </xf>
    <xf numFmtId="0" fontId="10" fillId="9" borderId="2" xfId="0" applyFont="1" applyFill="1" applyBorder="1" applyAlignment="1">
      <alignment horizontal="left" vertical="center" indent="1"/>
    </xf>
    <xf numFmtId="0" fontId="8" fillId="10" borderId="2" xfId="0" applyFont="1" applyFill="1" applyBorder="1" applyAlignment="1">
      <alignment horizontal="right" vertical="center"/>
    </xf>
    <xf numFmtId="0" fontId="10" fillId="10" borderId="2" xfId="0" applyFont="1" applyFill="1" applyBorder="1" applyAlignment="1">
      <alignment horizontal="left" vertical="center" indent="1"/>
    </xf>
    <xf numFmtId="0" fontId="8" fillId="8" borderId="2" xfId="0" applyFont="1" applyFill="1" applyBorder="1" applyAlignment="1">
      <alignment horizontal="right" vertical="center"/>
    </xf>
    <xf numFmtId="0" fontId="10" fillId="8" borderId="2" xfId="0" applyFont="1" applyFill="1" applyBorder="1" applyAlignment="1">
      <alignment horizontal="left" vertical="center" indent="1"/>
    </xf>
    <xf numFmtId="0" fontId="13" fillId="2" borderId="2" xfId="0" applyFont="1" applyFill="1" applyBorder="1" applyAlignment="1">
      <alignment horizontal="center" vertical="center" wrapText="1"/>
    </xf>
    <xf numFmtId="0" fontId="15" fillId="13" borderId="2" xfId="0" applyFont="1" applyFill="1" applyBorder="1" applyAlignment="1">
      <alignment horizontal="left" vertical="center" indent="1"/>
    </xf>
    <xf numFmtId="0" fontId="13" fillId="2" borderId="2" xfId="0" applyFont="1" applyFill="1" applyBorder="1" applyAlignment="1">
      <alignment horizontal="left" vertical="center" indent="1"/>
    </xf>
    <xf numFmtId="49" fontId="3" fillId="4" borderId="2" xfId="0" applyNumberFormat="1" applyFont="1" applyFill="1" applyBorder="1" applyAlignment="1">
      <alignment horizontal="right" vertical="center"/>
    </xf>
    <xf numFmtId="167" fontId="7" fillId="7" borderId="2" xfId="0" applyNumberFormat="1" applyFont="1" applyFill="1" applyBorder="1" applyAlignment="1">
      <alignment horizontal="right" vertical="center"/>
    </xf>
    <xf numFmtId="168" fontId="7" fillId="7" borderId="2" xfId="0" applyNumberFormat="1" applyFont="1" applyFill="1" applyBorder="1" applyAlignment="1">
      <alignment horizontal="right" vertical="center"/>
    </xf>
    <xf numFmtId="0" fontId="15" fillId="4" borderId="2" xfId="0" applyFont="1" applyFill="1" applyBorder="1" applyAlignment="1">
      <alignment horizontal="left" vertical="center" indent="1"/>
    </xf>
    <xf numFmtId="0" fontId="8" fillId="4" borderId="2" xfId="0" applyFont="1" applyFill="1" applyBorder="1" applyAlignment="1">
      <alignment horizontal="center" vertical="center" wrapText="1"/>
    </xf>
    <xf numFmtId="169" fontId="14" fillId="7" borderId="2" xfId="0" applyNumberFormat="1" applyFont="1" applyFill="1" applyBorder="1" applyAlignment="1">
      <alignment horizontal="right" vertical="center"/>
    </xf>
    <xf numFmtId="0" fontId="6" fillId="0" borderId="0" xfId="0" applyFont="1"/>
    <xf numFmtId="165" fontId="0" fillId="0" borderId="0" xfId="0" applyNumberFormat="1"/>
    <xf numFmtId="0" fontId="0" fillId="16" borderId="0" xfId="0" applyFill="1"/>
    <xf numFmtId="0" fontId="20" fillId="0" borderId="0" xfId="0" applyFont="1"/>
    <xf numFmtId="0" fontId="18" fillId="0" borderId="5" xfId="0" applyFont="1" applyBorder="1" applyAlignment="1">
      <alignment horizontal="center"/>
    </xf>
    <xf numFmtId="0" fontId="19" fillId="18" borderId="5" xfId="0" applyFont="1" applyFill="1" applyBorder="1" applyAlignment="1">
      <alignment horizontal="center"/>
    </xf>
    <xf numFmtId="3" fontId="8" fillId="5" borderId="2" xfId="0" applyNumberFormat="1" applyFont="1" applyFill="1" applyBorder="1" applyAlignment="1">
      <alignment horizontal="right" vertical="center"/>
    </xf>
    <xf numFmtId="3" fontId="8" fillId="8" borderId="2" xfId="0" applyNumberFormat="1" applyFont="1" applyFill="1" applyBorder="1" applyAlignment="1">
      <alignment horizontal="center" vertical="center" wrapText="1"/>
    </xf>
    <xf numFmtId="3" fontId="8" fillId="9" borderId="2" xfId="0" applyNumberFormat="1" applyFont="1" applyFill="1" applyBorder="1" applyAlignment="1">
      <alignment horizontal="center" vertical="center" wrapText="1"/>
    </xf>
    <xf numFmtId="3" fontId="8" fillId="10" borderId="2" xfId="0" applyNumberFormat="1" applyFont="1" applyFill="1" applyBorder="1" applyAlignment="1">
      <alignment horizontal="center" vertical="center" wrapText="1"/>
    </xf>
    <xf numFmtId="3" fontId="8" fillId="11" borderId="2" xfId="0" applyNumberFormat="1" applyFont="1" applyFill="1" applyBorder="1" applyAlignment="1">
      <alignment horizontal="center" vertical="center" wrapText="1"/>
    </xf>
    <xf numFmtId="3" fontId="8" fillId="12" borderId="2" xfId="0" applyNumberFormat="1" applyFont="1" applyFill="1" applyBorder="1" applyAlignment="1">
      <alignment horizontal="center" vertical="center" wrapText="1"/>
    </xf>
    <xf numFmtId="170" fontId="7" fillId="8" borderId="2" xfId="0" applyNumberFormat="1" applyFont="1" applyFill="1" applyBorder="1" applyAlignment="1">
      <alignment horizontal="right" vertical="center"/>
    </xf>
    <xf numFmtId="170" fontId="7" fillId="9" borderId="2" xfId="0" applyNumberFormat="1" applyFont="1" applyFill="1" applyBorder="1" applyAlignment="1">
      <alignment horizontal="right" vertical="center"/>
    </xf>
    <xf numFmtId="170" fontId="7" fillId="10" borderId="2" xfId="0" applyNumberFormat="1" applyFont="1" applyFill="1" applyBorder="1" applyAlignment="1">
      <alignment horizontal="right" vertical="center"/>
    </xf>
    <xf numFmtId="170" fontId="7" fillId="11" borderId="2" xfId="0" applyNumberFormat="1" applyFont="1" applyFill="1" applyBorder="1" applyAlignment="1">
      <alignment horizontal="right" vertical="center"/>
    </xf>
    <xf numFmtId="170" fontId="7" fillId="12" borderId="2" xfId="0" applyNumberFormat="1" applyFont="1" applyFill="1" applyBorder="1" applyAlignment="1">
      <alignment horizontal="right" vertical="center"/>
    </xf>
    <xf numFmtId="170" fontId="11" fillId="6" borderId="2" xfId="0" applyNumberFormat="1" applyFont="1" applyFill="1" applyBorder="1" applyAlignment="1">
      <alignment horizontal="right" vertical="center"/>
    </xf>
    <xf numFmtId="170" fontId="13" fillId="2" borderId="2" xfId="0" applyNumberFormat="1" applyFont="1" applyFill="1" applyBorder="1" applyAlignment="1">
      <alignment horizontal="right" vertical="center"/>
    </xf>
    <xf numFmtId="3" fontId="8" fillId="8" borderId="2" xfId="0" applyNumberFormat="1" applyFont="1" applyFill="1" applyBorder="1" applyAlignment="1">
      <alignment horizontal="right" vertical="center"/>
    </xf>
    <xf numFmtId="3" fontId="8" fillId="9" borderId="2" xfId="0" applyNumberFormat="1" applyFont="1" applyFill="1" applyBorder="1" applyAlignment="1">
      <alignment horizontal="right" vertical="center"/>
    </xf>
    <xf numFmtId="3" fontId="8" fillId="10" borderId="2" xfId="0" applyNumberFormat="1" applyFont="1" applyFill="1" applyBorder="1" applyAlignment="1">
      <alignment horizontal="right" vertical="center"/>
    </xf>
    <xf numFmtId="3" fontId="8" fillId="11" borderId="2" xfId="0" applyNumberFormat="1" applyFont="1" applyFill="1" applyBorder="1" applyAlignment="1">
      <alignment horizontal="right" vertical="center"/>
    </xf>
    <xf numFmtId="3" fontId="8" fillId="12" borderId="2" xfId="0" applyNumberFormat="1" applyFont="1" applyFill="1" applyBorder="1" applyAlignment="1">
      <alignment horizontal="right" vertical="center"/>
    </xf>
    <xf numFmtId="3" fontId="8" fillId="4" borderId="2" xfId="0" applyNumberFormat="1" applyFont="1" applyFill="1" applyBorder="1" applyAlignment="1">
      <alignment horizontal="right" vertical="center"/>
    </xf>
    <xf numFmtId="170" fontId="7" fillId="4" borderId="2" xfId="0" applyNumberFormat="1" applyFont="1" applyFill="1" applyBorder="1" applyAlignment="1">
      <alignment horizontal="right" vertical="center"/>
    </xf>
    <xf numFmtId="170" fontId="14" fillId="7" borderId="2" xfId="0" applyNumberFormat="1" applyFont="1" applyFill="1" applyBorder="1" applyAlignment="1">
      <alignment horizontal="right" vertical="center"/>
    </xf>
    <xf numFmtId="170" fontId="14" fillId="4" borderId="2" xfId="0" applyNumberFormat="1" applyFont="1" applyFill="1" applyBorder="1" applyAlignment="1">
      <alignment horizontal="right" vertical="center"/>
    </xf>
    <xf numFmtId="170" fontId="8" fillId="4" borderId="2" xfId="0" applyNumberFormat="1" applyFont="1" applyFill="1" applyBorder="1" applyAlignment="1">
      <alignment horizontal="right" vertical="center"/>
    </xf>
    <xf numFmtId="170" fontId="15" fillId="13" borderId="2" xfId="0" applyNumberFormat="1" applyFont="1" applyFill="1" applyBorder="1" applyAlignment="1">
      <alignment horizontal="right" vertical="center"/>
    </xf>
    <xf numFmtId="170" fontId="2" fillId="2" borderId="2" xfId="0" applyNumberFormat="1" applyFont="1" applyFill="1" applyBorder="1" applyAlignment="1">
      <alignment horizontal="right" vertical="center"/>
    </xf>
    <xf numFmtId="0" fontId="18" fillId="0" borderId="5" xfId="0" applyFont="1" applyBorder="1" applyAlignment="1">
      <alignment horizontal="left" vertical="center"/>
    </xf>
    <xf numFmtId="0" fontId="18" fillId="0" borderId="5" xfId="0" applyFont="1" applyBorder="1" applyAlignment="1">
      <alignment horizontal="left"/>
    </xf>
    <xf numFmtId="0" fontId="19" fillId="18" borderId="8" xfId="0" applyFont="1" applyFill="1" applyBorder="1" applyAlignment="1">
      <alignment horizontal="center"/>
    </xf>
    <xf numFmtId="0" fontId="19" fillId="18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18" borderId="5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4" fillId="4" borderId="1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5" fillId="4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2" fillId="2" borderId="2" xfId="0" applyFont="1" applyFill="1" applyBorder="1" applyAlignment="1">
      <alignment horizontal="left" vertical="center" indent="1"/>
    </xf>
    <xf numFmtId="0" fontId="11" fillId="6" borderId="2" xfId="0" applyFont="1" applyFill="1" applyBorder="1" applyAlignment="1">
      <alignment horizontal="left" vertical="center" indent="1"/>
    </xf>
    <xf numFmtId="0" fontId="9" fillId="0" borderId="0" xfId="0" applyFont="1"/>
    <xf numFmtId="0" fontId="10" fillId="0" borderId="0" xfId="0" applyFont="1"/>
    <xf numFmtId="0" fontId="2" fillId="6" borderId="2" xfId="0" applyFont="1" applyFill="1" applyBorder="1" applyAlignment="1">
      <alignment horizontal="left" vertical="center" indent="1"/>
    </xf>
    <xf numFmtId="0" fontId="2" fillId="14" borderId="2" xfId="0" applyFont="1" applyFill="1" applyBorder="1" applyAlignment="1">
      <alignment horizontal="left" vertical="center" indent="1"/>
    </xf>
    <xf numFmtId="0" fontId="16" fillId="0" borderId="0" xfId="0" applyFont="1"/>
    <xf numFmtId="0" fontId="17" fillId="4" borderId="2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7" fillId="4" borderId="3" xfId="0" applyFont="1" applyFill="1" applyBorder="1" applyAlignment="1">
      <alignment horizontal="center" vertical="center" wrapText="1"/>
    </xf>
    <xf numFmtId="0" fontId="17" fillId="4" borderId="4" xfId="0" applyFont="1" applyFill="1" applyBorder="1" applyAlignment="1">
      <alignment horizontal="center" vertical="center" wrapText="1"/>
    </xf>
    <xf numFmtId="0" fontId="17" fillId="15" borderId="0" xfId="0" applyFont="1" applyFill="1" applyAlignment="1">
      <alignment horizontal="center" vertical="center" wrapText="1"/>
    </xf>
    <xf numFmtId="169" fontId="9" fillId="17" borderId="0" xfId="0" applyNumberFormat="1" applyFont="1" applyFill="1" applyAlignment="1">
      <alignment horizontal="center" vertical="center" wrapText="1"/>
    </xf>
    <xf numFmtId="170" fontId="9" fillId="7" borderId="2" xfId="0" applyNumberFormat="1" applyFont="1" applyFill="1" applyBorder="1" applyAlignment="1">
      <alignment horizontal="center" vertical="center" wrapText="1"/>
    </xf>
    <xf numFmtId="170" fontId="9" fillId="7" borderId="1" xfId="0" applyNumberFormat="1" applyFont="1" applyFill="1" applyBorder="1" applyAlignment="1">
      <alignment horizontal="center" vertical="center" wrapText="1"/>
    </xf>
    <xf numFmtId="170" fontId="9" fillId="7" borderId="3" xfId="0" applyNumberFormat="1" applyFont="1" applyFill="1" applyBorder="1" applyAlignment="1">
      <alignment horizontal="center" vertical="center" wrapText="1"/>
    </xf>
    <xf numFmtId="170" fontId="9" fillId="7" borderId="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27535"/>
      <rgbColor rgb="FFACC581"/>
      <rgbColor rgb="FF0000FF"/>
      <rgbColor rgb="FFCCDAB7"/>
      <rgbColor rgb="FFF5A574"/>
      <rgbColor rgb="FFA0B4CC"/>
      <rgbColor rgb="FF9987B1"/>
      <rgbColor rgb="FF008000"/>
      <rgbColor rgb="FFF2F4F8"/>
      <rgbColor rgb="FF799245"/>
      <rgbColor rgb="FF8E44AD"/>
      <rgbColor rgb="FF2980B9"/>
      <rgbColor rgb="FFC1B8CE"/>
      <rgbColor rgb="FF878787"/>
      <rgbColor rgb="FF7C9AC6"/>
      <rgbColor rgb="FF963D3A"/>
      <rgbColor rgb="FFFFF9C4"/>
      <rgbColor rgb="FFEBF9F1"/>
      <rgbColor rgb="FF4A235A"/>
      <rgbColor rgb="FFE78C41"/>
      <rgbColor rgb="FF3E6595"/>
      <rgbColor rgb="FFCCCCCC"/>
      <rgbColor rgb="FFFDFEFE"/>
      <rgbColor rgb="FFF6C4AE"/>
      <rgbColor rgb="FFC7D6B1"/>
      <rgbColor rgb="FFB3C2DA"/>
      <rgbColor rgb="FFC97C7B"/>
      <rgbColor rgb="FFD9D9D9"/>
      <rgbColor rgb="FF39869B"/>
      <rgbColor rgb="FFF5EEF8"/>
      <rgbColor rgb="FF7AB9CE"/>
      <rgbColor rgb="FFEBF5FB"/>
      <rgbColor rgb="FFD6E4F0"/>
      <rgbColor rgb="FFFEF9E7"/>
      <rgbColor rgb="FFB3D3DF"/>
      <rgbColor rgb="FFD9B0B0"/>
      <rgbColor rgb="FFDDB5B5"/>
      <rgbColor rgb="FFFACAB4"/>
      <rgbColor rgb="FF2F80ED"/>
      <rgbColor rgb="FF44A0B8"/>
      <rgbColor rgb="FF90AE52"/>
      <rgbColor rgb="FFF8AA7A"/>
      <rgbColor rgb="FFE5883B"/>
      <rgbColor rgb="FFE67E22"/>
      <rgbColor rgb="FF765C96"/>
      <rgbColor rgb="FF888888"/>
      <rgbColor rgb="FF644D7E"/>
      <rgbColor rgb="FF27AE60"/>
      <rgbColor rgb="FF4777B1"/>
      <rgbColor rgb="FF555555"/>
      <rgbColor rgb="FFE74C3C"/>
      <rgbColor rgb="FFB34846"/>
      <rgbColor rgb="FF2D4B7A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73C4E-03F4-6D45-88DC-776EE02182E4}">
  <sheetPr>
    <tabColor rgb="FFBFBFBF"/>
  </sheetPr>
  <dimension ref="B2:L29"/>
  <sheetViews>
    <sheetView showGridLines="0" tabSelected="1" zoomScaleNormal="100" workbookViewId="0">
      <selection activeCell="J12" sqref="J12"/>
    </sheetView>
  </sheetViews>
  <sheetFormatPr defaultColWidth="8.6640625" defaultRowHeight="14.4" x14ac:dyDescent="0.3"/>
  <cols>
    <col min="1" max="1" width="1.77734375" customWidth="1"/>
    <col min="2" max="2" width="9.109375" customWidth="1"/>
    <col min="3" max="3" width="10.44140625" customWidth="1"/>
    <col min="5" max="5" width="10.44140625" customWidth="1"/>
    <col min="9" max="9" width="14.5546875" customWidth="1"/>
    <col min="10" max="10" width="18.77734375" customWidth="1"/>
  </cols>
  <sheetData>
    <row r="2" spans="2:12" ht="18.75" customHeight="1" x14ac:dyDescent="0.35">
      <c r="B2" s="55" t="s">
        <v>197</v>
      </c>
    </row>
    <row r="4" spans="2:12" x14ac:dyDescent="0.3">
      <c r="B4" s="57" t="s">
        <v>196</v>
      </c>
      <c r="C4" s="85" t="s">
        <v>195</v>
      </c>
      <c r="D4" s="86"/>
      <c r="E4" s="86"/>
      <c r="F4" s="86"/>
      <c r="G4" s="86"/>
      <c r="H4" s="86"/>
      <c r="I4" s="87"/>
    </row>
    <row r="5" spans="2:12" x14ac:dyDescent="0.3">
      <c r="B5" s="56">
        <v>1</v>
      </c>
      <c r="C5" s="84" t="s">
        <v>194</v>
      </c>
      <c r="D5" s="84"/>
      <c r="E5" s="84"/>
      <c r="F5" s="84"/>
      <c r="G5" s="84"/>
      <c r="H5" s="84"/>
      <c r="I5" s="84"/>
    </row>
    <row r="6" spans="2:12" x14ac:dyDescent="0.3">
      <c r="B6" s="56">
        <v>2</v>
      </c>
      <c r="C6" s="84" t="s">
        <v>193</v>
      </c>
      <c r="D6" s="84"/>
      <c r="E6" s="84"/>
      <c r="F6" s="84"/>
      <c r="G6" s="84"/>
      <c r="H6" s="84"/>
      <c r="I6" s="84"/>
    </row>
    <row r="7" spans="2:12" x14ac:dyDescent="0.3">
      <c r="B7" s="56">
        <v>3</v>
      </c>
      <c r="C7" s="84" t="s">
        <v>192</v>
      </c>
      <c r="D7" s="84"/>
      <c r="E7" s="84"/>
      <c r="F7" s="84"/>
      <c r="G7" s="84"/>
      <c r="H7" s="84"/>
      <c r="I7" s="84"/>
    </row>
    <row r="8" spans="2:12" x14ac:dyDescent="0.3">
      <c r="B8" s="56">
        <v>4</v>
      </c>
      <c r="C8" s="84" t="s">
        <v>191</v>
      </c>
      <c r="D8" s="84"/>
      <c r="E8" s="84"/>
      <c r="F8" s="84"/>
      <c r="G8" s="84"/>
      <c r="H8" s="84"/>
      <c r="I8" s="84"/>
    </row>
    <row r="9" spans="2:12" x14ac:dyDescent="0.3">
      <c r="B9" s="56">
        <v>5</v>
      </c>
      <c r="C9" s="84" t="s">
        <v>190</v>
      </c>
      <c r="D9" s="84"/>
      <c r="E9" s="84"/>
      <c r="F9" s="84"/>
      <c r="G9" s="84"/>
      <c r="H9" s="84"/>
      <c r="I9" s="84"/>
    </row>
    <row r="12" spans="2:12" ht="18.75" customHeight="1" x14ac:dyDescent="0.35">
      <c r="B12" s="55" t="s">
        <v>189</v>
      </c>
    </row>
    <row r="14" spans="2:12" x14ac:dyDescent="0.3">
      <c r="B14" s="88" t="s">
        <v>188</v>
      </c>
      <c r="C14" s="88"/>
      <c r="D14" s="88"/>
      <c r="E14" s="88" t="s">
        <v>90</v>
      </c>
      <c r="F14" s="88"/>
      <c r="G14" s="88"/>
      <c r="H14" s="88"/>
      <c r="I14" s="88"/>
      <c r="J14" s="88"/>
      <c r="K14" s="88"/>
      <c r="L14" s="88"/>
    </row>
    <row r="15" spans="2:12" x14ac:dyDescent="0.3">
      <c r="B15" s="83" t="s">
        <v>187</v>
      </c>
      <c r="C15" s="83"/>
      <c r="D15" s="83"/>
      <c r="E15" s="83" t="s">
        <v>186</v>
      </c>
      <c r="F15" s="83"/>
      <c r="G15" s="83"/>
      <c r="H15" s="83"/>
      <c r="I15" s="83"/>
      <c r="J15" s="83"/>
      <c r="K15" s="83"/>
      <c r="L15" s="83"/>
    </row>
    <row r="16" spans="2:12" x14ac:dyDescent="0.3">
      <c r="B16" s="83" t="s">
        <v>24</v>
      </c>
      <c r="C16" s="83"/>
      <c r="D16" s="83"/>
      <c r="E16" s="83" t="s">
        <v>185</v>
      </c>
      <c r="F16" s="83"/>
      <c r="G16" s="83"/>
      <c r="H16" s="83"/>
      <c r="I16" s="83"/>
      <c r="J16" s="83"/>
      <c r="K16" s="83"/>
      <c r="L16" s="83"/>
    </row>
    <row r="17" spans="2:12" x14ac:dyDescent="0.3">
      <c r="B17" s="83" t="s">
        <v>28</v>
      </c>
      <c r="C17" s="83"/>
      <c r="D17" s="83"/>
      <c r="E17" s="83" t="s">
        <v>184</v>
      </c>
      <c r="F17" s="83"/>
      <c r="G17" s="83"/>
      <c r="H17" s="83"/>
      <c r="I17" s="83"/>
      <c r="J17" s="83"/>
      <c r="K17" s="83"/>
      <c r="L17" s="83"/>
    </row>
    <row r="18" spans="2:12" x14ac:dyDescent="0.3">
      <c r="B18" s="83" t="s">
        <v>183</v>
      </c>
      <c r="C18" s="83"/>
      <c r="D18" s="83"/>
      <c r="E18" s="83" t="s">
        <v>182</v>
      </c>
      <c r="F18" s="83"/>
      <c r="G18" s="83"/>
      <c r="H18" s="83"/>
      <c r="I18" s="83"/>
      <c r="J18" s="83"/>
      <c r="K18" s="83"/>
      <c r="L18" s="83"/>
    </row>
    <row r="19" spans="2:12" x14ac:dyDescent="0.3">
      <c r="B19" s="83" t="s">
        <v>181</v>
      </c>
      <c r="C19" s="83"/>
      <c r="D19" s="83"/>
      <c r="E19" s="83" t="s">
        <v>180</v>
      </c>
      <c r="F19" s="83"/>
      <c r="G19" s="83"/>
      <c r="H19" s="83"/>
      <c r="I19" s="83"/>
      <c r="J19" s="83"/>
      <c r="K19" s="83"/>
      <c r="L19" s="83"/>
    </row>
    <row r="20" spans="2:12" x14ac:dyDescent="0.3">
      <c r="B20" s="83" t="s">
        <v>179</v>
      </c>
      <c r="C20" s="83"/>
      <c r="D20" s="83"/>
      <c r="E20" s="83" t="s">
        <v>178</v>
      </c>
      <c r="F20" s="83"/>
      <c r="G20" s="83"/>
      <c r="H20" s="83"/>
      <c r="I20" s="83"/>
      <c r="J20" s="83"/>
      <c r="K20" s="83"/>
      <c r="L20" s="83"/>
    </row>
    <row r="23" spans="2:12" ht="18.75" customHeight="1" x14ac:dyDescent="0.35">
      <c r="B23" s="55" t="s">
        <v>177</v>
      </c>
    </row>
    <row r="25" spans="2:12" x14ac:dyDescent="0.3">
      <c r="B25" s="88" t="s">
        <v>176</v>
      </c>
      <c r="C25" s="88"/>
      <c r="D25" s="88"/>
      <c r="E25" s="88" t="s">
        <v>90</v>
      </c>
      <c r="F25" s="88"/>
      <c r="G25" s="88"/>
      <c r="H25" s="88"/>
      <c r="I25" s="88"/>
      <c r="J25" s="88"/>
    </row>
    <row r="26" spans="2:12" x14ac:dyDescent="0.3">
      <c r="B26" s="83" t="s">
        <v>175</v>
      </c>
      <c r="C26" s="83"/>
      <c r="D26" s="83"/>
      <c r="E26" s="83" t="s">
        <v>174</v>
      </c>
      <c r="F26" s="83"/>
      <c r="G26" s="83"/>
      <c r="H26" s="83"/>
      <c r="I26" s="83"/>
      <c r="J26" s="83"/>
    </row>
    <row r="27" spans="2:12" x14ac:dyDescent="0.3">
      <c r="B27" s="83" t="s">
        <v>173</v>
      </c>
      <c r="C27" s="83"/>
      <c r="D27" s="83"/>
      <c r="E27" s="83" t="s">
        <v>172</v>
      </c>
      <c r="F27" s="83"/>
      <c r="G27" s="83"/>
      <c r="H27" s="83"/>
      <c r="I27" s="83"/>
      <c r="J27" s="83"/>
    </row>
    <row r="28" spans="2:12" x14ac:dyDescent="0.3">
      <c r="B28" s="83" t="s">
        <v>171</v>
      </c>
      <c r="C28" s="83"/>
      <c r="D28" s="83"/>
      <c r="E28" s="83" t="s">
        <v>170</v>
      </c>
      <c r="F28" s="83"/>
      <c r="G28" s="83"/>
      <c r="H28" s="83"/>
      <c r="I28" s="83"/>
      <c r="J28" s="83"/>
    </row>
    <row r="29" spans="2:12" x14ac:dyDescent="0.3">
      <c r="B29" s="83" t="s">
        <v>169</v>
      </c>
      <c r="C29" s="83"/>
      <c r="D29" s="83"/>
      <c r="E29" s="83" t="s">
        <v>168</v>
      </c>
      <c r="F29" s="83"/>
      <c r="G29" s="83"/>
      <c r="H29" s="83"/>
      <c r="I29" s="83"/>
      <c r="J29" s="83"/>
    </row>
  </sheetData>
  <mergeCells count="30">
    <mergeCell ref="B29:D29"/>
    <mergeCell ref="E29:J29"/>
    <mergeCell ref="B20:D20"/>
    <mergeCell ref="E20:L20"/>
    <mergeCell ref="B25:D25"/>
    <mergeCell ref="C4:I4"/>
    <mergeCell ref="B27:D27"/>
    <mergeCell ref="E27:J27"/>
    <mergeCell ref="B28:D28"/>
    <mergeCell ref="E28:J28"/>
    <mergeCell ref="E25:J25"/>
    <mergeCell ref="B26:D26"/>
    <mergeCell ref="E26:J26"/>
    <mergeCell ref="B17:D17"/>
    <mergeCell ref="E17:L17"/>
    <mergeCell ref="B18:D18"/>
    <mergeCell ref="E18:L18"/>
    <mergeCell ref="B19:D19"/>
    <mergeCell ref="E19:L19"/>
    <mergeCell ref="B14:D14"/>
    <mergeCell ref="E14:L14"/>
    <mergeCell ref="B15:D15"/>
    <mergeCell ref="E15:L15"/>
    <mergeCell ref="B16:D16"/>
    <mergeCell ref="E16:L16"/>
    <mergeCell ref="C5:I5"/>
    <mergeCell ref="C6:I6"/>
    <mergeCell ref="C7:I7"/>
    <mergeCell ref="C8:I8"/>
    <mergeCell ref="C9:I9"/>
  </mergeCells>
  <pageMargins left="0.75" right="0.75" top="1" bottom="1" header="0.511811023622047" footer="0.511811023622047"/>
  <pageSetup paperSize="9" orientation="portrait" horizontalDpi="300" verticalDpi="30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36"/>
  <sheetViews>
    <sheetView showGridLines="0" zoomScale="125" zoomScaleNormal="100" workbookViewId="0">
      <selection activeCell="F22" sqref="F22"/>
    </sheetView>
  </sheetViews>
  <sheetFormatPr defaultColWidth="8.6640625" defaultRowHeight="14.4" x14ac:dyDescent="0.3"/>
  <cols>
    <col min="1" max="1" width="4" customWidth="1"/>
    <col min="2" max="2" width="30" customWidth="1"/>
    <col min="3" max="3" width="50" customWidth="1"/>
    <col min="4" max="4" width="4" customWidth="1"/>
  </cols>
  <sheetData>
    <row r="1" spans="2:3" ht="25.5" customHeight="1" x14ac:dyDescent="0.3">
      <c r="B1" s="89" t="s">
        <v>165</v>
      </c>
      <c r="C1" s="89"/>
    </row>
    <row r="2" spans="2:3" ht="25.5" customHeight="1" x14ac:dyDescent="0.3">
      <c r="B2" s="89"/>
      <c r="C2" s="89"/>
    </row>
    <row r="3" spans="2:3" ht="25.5" customHeight="1" x14ac:dyDescent="0.3">
      <c r="B3" s="89"/>
      <c r="C3" s="89"/>
    </row>
    <row r="4" spans="2:3" ht="25.5" customHeight="1" x14ac:dyDescent="0.3">
      <c r="B4" s="89"/>
      <c r="C4" s="89"/>
    </row>
    <row r="5" spans="2:3" ht="25.5" customHeight="1" x14ac:dyDescent="0.3">
      <c r="B5" s="89"/>
      <c r="C5" s="89"/>
    </row>
    <row r="6" spans="2:3" ht="25.5" customHeight="1" x14ac:dyDescent="0.3">
      <c r="B6" s="89"/>
      <c r="C6" s="89"/>
    </row>
    <row r="7" spans="2:3" ht="25.5" customHeight="1" x14ac:dyDescent="0.3">
      <c r="B7" s="89"/>
      <c r="C7" s="89"/>
    </row>
    <row r="9" spans="2:3" ht="21.75" customHeight="1" x14ac:dyDescent="0.3">
      <c r="B9" s="90" t="s">
        <v>0</v>
      </c>
      <c r="C9" s="90"/>
    </row>
    <row r="10" spans="2:3" ht="15.75" customHeight="1" x14ac:dyDescent="0.3">
      <c r="B10" s="91" t="s">
        <v>1</v>
      </c>
      <c r="C10" s="91"/>
    </row>
    <row r="11" spans="2:3" ht="3.75" customHeight="1" x14ac:dyDescent="0.3"/>
    <row r="12" spans="2:3" ht="21.75" customHeight="1" x14ac:dyDescent="0.3">
      <c r="B12" s="90" t="s">
        <v>2</v>
      </c>
      <c r="C12" s="90"/>
    </row>
    <row r="13" spans="2:3" ht="15.75" customHeight="1" x14ac:dyDescent="0.3">
      <c r="B13" s="91" t="s">
        <v>3</v>
      </c>
      <c r="C13" s="91"/>
    </row>
    <row r="14" spans="2:3" ht="3.75" customHeight="1" x14ac:dyDescent="0.3"/>
    <row r="15" spans="2:3" ht="21.75" customHeight="1" x14ac:dyDescent="0.3">
      <c r="B15" s="90" t="s">
        <v>4</v>
      </c>
      <c r="C15" s="90"/>
    </row>
    <row r="16" spans="2:3" ht="15.75" customHeight="1" x14ac:dyDescent="0.3">
      <c r="B16" s="91" t="s">
        <v>5</v>
      </c>
      <c r="C16" s="91"/>
    </row>
    <row r="17" spans="2:3" ht="3.75" customHeight="1" x14ac:dyDescent="0.3"/>
    <row r="18" spans="2:3" ht="21.75" customHeight="1" x14ac:dyDescent="0.3">
      <c r="B18" s="90" t="s">
        <v>6</v>
      </c>
      <c r="C18" s="90"/>
    </row>
    <row r="19" spans="2:3" ht="15.75" customHeight="1" x14ac:dyDescent="0.3">
      <c r="B19" s="91" t="s">
        <v>7</v>
      </c>
      <c r="C19" s="91"/>
    </row>
    <row r="20" spans="2:3" ht="3.75" customHeight="1" x14ac:dyDescent="0.3"/>
    <row r="21" spans="2:3" ht="21.75" customHeight="1" x14ac:dyDescent="0.3">
      <c r="B21" s="90" t="s">
        <v>8</v>
      </c>
      <c r="C21" s="90"/>
    </row>
    <row r="22" spans="2:3" ht="15.75" customHeight="1" x14ac:dyDescent="0.3">
      <c r="B22" s="91" t="s">
        <v>9</v>
      </c>
      <c r="C22" s="91"/>
    </row>
    <row r="23" spans="2:3" ht="3.75" customHeight="1" x14ac:dyDescent="0.3"/>
    <row r="24" spans="2:3" ht="21.75" customHeight="1" x14ac:dyDescent="0.3">
      <c r="B24" s="90" t="s">
        <v>10</v>
      </c>
      <c r="C24" s="90"/>
    </row>
    <row r="25" spans="2:3" ht="15.75" customHeight="1" x14ac:dyDescent="0.3">
      <c r="B25" s="91" t="s">
        <v>164</v>
      </c>
      <c r="C25" s="91"/>
    </row>
    <row r="26" spans="2:3" ht="3.75" customHeight="1" x14ac:dyDescent="0.3"/>
    <row r="28" spans="2:3" ht="21.75" customHeight="1" x14ac:dyDescent="0.3">
      <c r="B28" s="96" t="s">
        <v>11</v>
      </c>
      <c r="C28" s="96"/>
    </row>
    <row r="30" spans="2:3" ht="18" customHeight="1" x14ac:dyDescent="0.3">
      <c r="B30" s="92" t="s">
        <v>12</v>
      </c>
      <c r="C30" s="92"/>
    </row>
    <row r="32" spans="2:3" ht="18" customHeight="1" x14ac:dyDescent="0.3">
      <c r="B32" s="93" t="s">
        <v>13</v>
      </c>
      <c r="C32" s="93"/>
    </row>
    <row r="34" spans="2:3" ht="18" customHeight="1" x14ac:dyDescent="0.3">
      <c r="B34" s="94" t="s">
        <v>14</v>
      </c>
      <c r="C34" s="94"/>
    </row>
    <row r="36" spans="2:3" ht="18" customHeight="1" x14ac:dyDescent="0.3">
      <c r="B36" s="95" t="s">
        <v>15</v>
      </c>
      <c r="C36" s="95"/>
    </row>
  </sheetData>
  <mergeCells count="18">
    <mergeCell ref="B32:C32"/>
    <mergeCell ref="B34:C34"/>
    <mergeCell ref="B36:C36"/>
    <mergeCell ref="B21:C21"/>
    <mergeCell ref="B22:C22"/>
    <mergeCell ref="B24:C24"/>
    <mergeCell ref="B25:C25"/>
    <mergeCell ref="B28:C28"/>
    <mergeCell ref="B15:C15"/>
    <mergeCell ref="B16:C16"/>
    <mergeCell ref="B18:C18"/>
    <mergeCell ref="B19:C19"/>
    <mergeCell ref="B30:C30"/>
    <mergeCell ref="B1:C7"/>
    <mergeCell ref="B9:C9"/>
    <mergeCell ref="B10:C10"/>
    <mergeCell ref="B12:C12"/>
    <mergeCell ref="B13:C1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23"/>
  <sheetViews>
    <sheetView showGridLines="0" topLeftCell="A2" zoomScale="136" zoomScaleNormal="100" workbookViewId="0">
      <selection activeCell="G22" sqref="G22"/>
    </sheetView>
  </sheetViews>
  <sheetFormatPr defaultColWidth="8.6640625" defaultRowHeight="14.4" x14ac:dyDescent="0.3"/>
  <cols>
    <col min="1" max="1" width="3" customWidth="1"/>
    <col min="2" max="2" width="36" customWidth="1"/>
    <col min="3" max="3" width="18" customWidth="1"/>
    <col min="4" max="5" width="3" customWidth="1"/>
  </cols>
  <sheetData>
    <row r="1" spans="2:4" ht="27.75" customHeight="1" x14ac:dyDescent="0.3">
      <c r="B1" s="52" t="s">
        <v>166</v>
      </c>
      <c r="C1" s="52"/>
      <c r="D1" s="52"/>
    </row>
    <row r="3" spans="2:4" ht="21.75" customHeight="1" x14ac:dyDescent="0.3">
      <c r="B3" s="97" t="s">
        <v>16</v>
      </c>
      <c r="C3" s="97"/>
    </row>
    <row r="4" spans="2:4" ht="19.5" customHeight="1" x14ac:dyDescent="0.3">
      <c r="B4" s="1" t="s">
        <v>17</v>
      </c>
      <c r="C4" s="2" t="s">
        <v>18</v>
      </c>
    </row>
    <row r="5" spans="2:4" ht="19.5" customHeight="1" x14ac:dyDescent="0.3">
      <c r="B5" s="1" t="s">
        <v>19</v>
      </c>
      <c r="C5" s="4">
        <v>24</v>
      </c>
    </row>
    <row r="6" spans="2:4" ht="19.5" customHeight="1" x14ac:dyDescent="0.3">
      <c r="B6" s="5" t="s">
        <v>20</v>
      </c>
      <c r="C6" s="58">
        <v>500000</v>
      </c>
    </row>
    <row r="7" spans="2:4" ht="19.5" customHeight="1" x14ac:dyDescent="0.3">
      <c r="B7" s="1" t="s">
        <v>21</v>
      </c>
      <c r="C7" s="2" t="s">
        <v>198</v>
      </c>
    </row>
    <row r="8" spans="2:4" ht="19.5" customHeight="1" x14ac:dyDescent="0.3"/>
    <row r="9" spans="2:4" ht="19.5" customHeight="1" x14ac:dyDescent="0.3">
      <c r="B9" s="97" t="s">
        <v>22</v>
      </c>
      <c r="C9" s="97"/>
    </row>
    <row r="10" spans="2:4" ht="19.5" customHeight="1" x14ac:dyDescent="0.3">
      <c r="B10" s="5" t="s">
        <v>23</v>
      </c>
      <c r="C10" s="58">
        <v>75000</v>
      </c>
    </row>
    <row r="11" spans="2:4" ht="19.5" customHeight="1" x14ac:dyDescent="0.3">
      <c r="B11" s="5" t="s">
        <v>24</v>
      </c>
      <c r="C11" s="6">
        <v>0.05</v>
      </c>
    </row>
    <row r="12" spans="2:4" ht="19.5" customHeight="1" x14ac:dyDescent="0.3">
      <c r="B12" s="1" t="s">
        <v>25</v>
      </c>
      <c r="C12" s="4">
        <v>30</v>
      </c>
    </row>
    <row r="13" spans="2:4" ht="19.5" customHeight="1" x14ac:dyDescent="0.3">
      <c r="B13" s="1" t="s">
        <v>26</v>
      </c>
      <c r="C13" s="7">
        <v>0.02</v>
      </c>
    </row>
    <row r="14" spans="2:4" ht="6" customHeight="1" x14ac:dyDescent="0.3"/>
    <row r="15" spans="2:4" ht="21.75" customHeight="1" x14ac:dyDescent="0.3">
      <c r="B15" s="97" t="s">
        <v>27</v>
      </c>
      <c r="C15" s="97"/>
    </row>
    <row r="16" spans="2:4" ht="19.5" customHeight="1" x14ac:dyDescent="0.3">
      <c r="B16" s="5" t="s">
        <v>28</v>
      </c>
      <c r="C16" s="6">
        <v>0.15</v>
      </c>
    </row>
    <row r="17" spans="2:3" ht="19.5" customHeight="1" x14ac:dyDescent="0.3">
      <c r="B17" s="1" t="s">
        <v>29</v>
      </c>
      <c r="C17" s="7">
        <v>0.08</v>
      </c>
    </row>
    <row r="18" spans="2:3" ht="19.5" customHeight="1" x14ac:dyDescent="0.3">
      <c r="B18" s="1" t="s">
        <v>30</v>
      </c>
      <c r="C18" s="2" t="s">
        <v>31</v>
      </c>
    </row>
    <row r="19" spans="2:3" ht="6" customHeight="1" x14ac:dyDescent="0.3"/>
    <row r="20" spans="2:3" ht="21.75" customHeight="1" x14ac:dyDescent="0.3">
      <c r="B20" s="97" t="s">
        <v>32</v>
      </c>
      <c r="C20" s="97"/>
    </row>
    <row r="21" spans="2:3" ht="19.5" customHeight="1" x14ac:dyDescent="0.3">
      <c r="B21" s="1" t="s">
        <v>33</v>
      </c>
      <c r="C21" s="4">
        <v>30</v>
      </c>
    </row>
    <row r="22" spans="2:3" ht="19.5" customHeight="1" x14ac:dyDescent="0.3">
      <c r="B22" s="1" t="s">
        <v>34</v>
      </c>
      <c r="C22" s="7">
        <v>0.08</v>
      </c>
    </row>
    <row r="23" spans="2:3" ht="19.5" customHeight="1" x14ac:dyDescent="0.3">
      <c r="B23" s="5" t="s">
        <v>35</v>
      </c>
      <c r="C23" s="58">
        <v>50000</v>
      </c>
    </row>
  </sheetData>
  <mergeCells count="4">
    <mergeCell ref="B20:C20"/>
    <mergeCell ref="B3:C3"/>
    <mergeCell ref="B9:C9"/>
    <mergeCell ref="B15:C1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M22"/>
  <sheetViews>
    <sheetView showGridLines="0" topLeftCell="C1" zoomScaleNormal="100" workbookViewId="0">
      <selection activeCell="L24" sqref="L24"/>
    </sheetView>
  </sheetViews>
  <sheetFormatPr defaultColWidth="8.6640625" defaultRowHeight="14.4" x14ac:dyDescent="0.3"/>
  <cols>
    <col min="1" max="1" width="3" customWidth="1"/>
    <col min="2" max="2" width="18" customWidth="1"/>
    <col min="3" max="3" width="22" customWidth="1"/>
    <col min="4" max="5" width="12" customWidth="1"/>
    <col min="6" max="6" width="14" customWidth="1"/>
    <col min="7" max="7" width="9.109375" bestFit="1" customWidth="1"/>
    <col min="8" max="9" width="14" customWidth="1"/>
    <col min="10" max="33" width="11" customWidth="1"/>
  </cols>
  <sheetData>
    <row r="1" spans="2:39" ht="27.75" customHeight="1" x14ac:dyDescent="0.3">
      <c r="B1" s="99" t="s">
        <v>36</v>
      </c>
      <c r="C1" s="99"/>
      <c r="D1" s="99"/>
      <c r="E1" s="99"/>
      <c r="F1" s="99"/>
      <c r="G1" s="99"/>
      <c r="H1" s="99"/>
      <c r="I1" s="99"/>
    </row>
    <row r="2" spans="2:39" ht="13.5" customHeight="1" x14ac:dyDescent="0.3"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</row>
    <row r="3" spans="2:39" ht="36" customHeight="1" x14ac:dyDescent="0.3">
      <c r="B3" s="8" t="s">
        <v>37</v>
      </c>
      <c r="C3" s="8" t="s">
        <v>38</v>
      </c>
      <c r="D3" s="8" t="s">
        <v>39</v>
      </c>
      <c r="E3" s="8" t="s">
        <v>40</v>
      </c>
      <c r="F3" s="8" t="s">
        <v>41</v>
      </c>
      <c r="G3" s="8" t="s">
        <v>147</v>
      </c>
      <c r="H3" s="8" t="s">
        <v>42</v>
      </c>
      <c r="I3" s="8" t="s">
        <v>43</v>
      </c>
      <c r="J3" s="9" t="s">
        <v>18</v>
      </c>
      <c r="K3" s="9" t="s">
        <v>44</v>
      </c>
      <c r="L3" s="9" t="s">
        <v>45</v>
      </c>
      <c r="M3" s="9" t="s">
        <v>46</v>
      </c>
      <c r="N3" s="9" t="s">
        <v>47</v>
      </c>
      <c r="O3" s="9" t="s">
        <v>48</v>
      </c>
      <c r="P3" s="9" t="s">
        <v>49</v>
      </c>
      <c r="Q3" s="9" t="s">
        <v>50</v>
      </c>
      <c r="R3" s="9" t="s">
        <v>51</v>
      </c>
      <c r="S3" s="9" t="s">
        <v>52</v>
      </c>
      <c r="T3" s="9" t="s">
        <v>53</v>
      </c>
      <c r="U3" s="9" t="s">
        <v>54</v>
      </c>
      <c r="V3" s="9" t="s">
        <v>55</v>
      </c>
      <c r="W3" s="9" t="s">
        <v>56</v>
      </c>
      <c r="X3" s="9" t="s">
        <v>57</v>
      </c>
      <c r="Y3" s="9" t="s">
        <v>58</v>
      </c>
      <c r="Z3" s="9" t="s">
        <v>59</v>
      </c>
      <c r="AA3" s="9" t="s">
        <v>60</v>
      </c>
      <c r="AB3" s="9" t="s">
        <v>61</v>
      </c>
      <c r="AC3" s="9" t="s">
        <v>62</v>
      </c>
      <c r="AD3" s="9" t="s">
        <v>63</v>
      </c>
      <c r="AE3" s="9" t="s">
        <v>64</v>
      </c>
      <c r="AF3" s="9" t="s">
        <v>65</v>
      </c>
      <c r="AG3" s="9" t="s">
        <v>66</v>
      </c>
    </row>
    <row r="5" spans="2:39" ht="19.5" customHeight="1" x14ac:dyDescent="0.3">
      <c r="B5" s="10" t="s">
        <v>67</v>
      </c>
      <c r="C5" s="10" t="s">
        <v>68</v>
      </c>
      <c r="D5" s="11" t="s">
        <v>18</v>
      </c>
      <c r="E5" s="11" t="s">
        <v>69</v>
      </c>
      <c r="F5" s="59">
        <v>120000</v>
      </c>
      <c r="G5" s="12">
        <v>1</v>
      </c>
      <c r="H5" s="64">
        <f t="shared" ref="H5:H14" si="0">F5*G5/12</f>
        <v>10000</v>
      </c>
      <c r="I5" s="64">
        <f>H5*(1+Inputs!$C$16)</f>
        <v>11500</v>
      </c>
      <c r="J5" s="64">
        <f>F5*G5/12*(1+Inputs!$C$16)</f>
        <v>11500</v>
      </c>
      <c r="K5" s="64">
        <f>F5*G5/12*(1+Inputs!$C$16)</f>
        <v>11500</v>
      </c>
      <c r="L5" s="64">
        <f>F5*G5/12*(1+Inputs!$C$16)</f>
        <v>11500</v>
      </c>
      <c r="M5" s="64">
        <f>F5*G5/12*(1+Inputs!$C$16)</f>
        <v>11500</v>
      </c>
      <c r="N5" s="64">
        <f>F5*G5/12*(1+Inputs!$C$16)</f>
        <v>11500</v>
      </c>
      <c r="O5" s="64">
        <f>F5*G5/12*(1+Inputs!$C$16)</f>
        <v>11500</v>
      </c>
      <c r="P5" s="64">
        <f>F5*G5/12*(1+Inputs!$C$16)</f>
        <v>11500</v>
      </c>
      <c r="Q5" s="64">
        <f>F5*G5/12*(1+Inputs!$C$16)</f>
        <v>11500</v>
      </c>
      <c r="R5" s="64">
        <f>F5*G5/12*(1+Inputs!$C$16)</f>
        <v>11500</v>
      </c>
      <c r="S5" s="64">
        <f>F5*G5/12*(1+Inputs!$C$16)</f>
        <v>11500</v>
      </c>
      <c r="T5" s="64">
        <f>F5*G5/12*(1+Inputs!$C$16)</f>
        <v>11500</v>
      </c>
      <c r="U5" s="64">
        <f>F5*G5/12*(1+Inputs!$C$16)</f>
        <v>11500</v>
      </c>
      <c r="V5" s="64">
        <f>F5*(1+Inputs!$C$17)*G5/12*(1+Inputs!$C$16)</f>
        <v>12420.000000000002</v>
      </c>
      <c r="W5" s="64">
        <f>F5*(1+Inputs!$C$17)*G5/12*(1+Inputs!$C$16)</f>
        <v>12420.000000000002</v>
      </c>
      <c r="X5" s="64">
        <f>F5*(1+Inputs!$C$17)*G5/12*(1+Inputs!$C$16)</f>
        <v>12420.000000000002</v>
      </c>
      <c r="Y5" s="64">
        <f>F5*(1+Inputs!$C$17)*G5/12*(1+Inputs!$C$16)</f>
        <v>12420.000000000002</v>
      </c>
      <c r="Z5" s="64">
        <f>F5*(1+Inputs!$C$17)*G5/12*(1+Inputs!$C$16)</f>
        <v>12420.000000000002</v>
      </c>
      <c r="AA5" s="64">
        <f>F5*(1+Inputs!$C$17)*G5/12*(1+Inputs!$C$16)</f>
        <v>12420.000000000002</v>
      </c>
      <c r="AB5" s="64">
        <f>F5*(1+Inputs!$C$17)*G5/12*(1+Inputs!$C$16)</f>
        <v>12420.000000000002</v>
      </c>
      <c r="AC5" s="64">
        <f>F5*(1+Inputs!$C$17)*G5/12*(1+Inputs!$C$16)</f>
        <v>12420.000000000002</v>
      </c>
      <c r="AD5" s="64">
        <f>F5*(1+Inputs!$C$17)*G5/12*(1+Inputs!$C$16)</f>
        <v>12420.000000000002</v>
      </c>
      <c r="AE5" s="64">
        <f>F5*(1+Inputs!$C$17)*G5/12*(1+Inputs!$C$16)</f>
        <v>12420.000000000002</v>
      </c>
      <c r="AF5" s="64">
        <f>F5*(1+Inputs!$C$17)*G5/12*(1+Inputs!$C$16)</f>
        <v>12420.000000000002</v>
      </c>
      <c r="AG5" s="64">
        <f>F5*(1+Inputs!$C$17)*G5/12*(1+Inputs!$C$16)</f>
        <v>12420.000000000002</v>
      </c>
    </row>
    <row r="6" spans="2:39" ht="19.5" customHeight="1" x14ac:dyDescent="0.3">
      <c r="B6" s="10" t="s">
        <v>67</v>
      </c>
      <c r="C6" s="10" t="s">
        <v>70</v>
      </c>
      <c r="D6" s="11" t="s">
        <v>18</v>
      </c>
      <c r="E6" s="11" t="s">
        <v>69</v>
      </c>
      <c r="F6" s="59">
        <v>70000</v>
      </c>
      <c r="G6" s="12">
        <v>2</v>
      </c>
      <c r="H6" s="64">
        <f t="shared" si="0"/>
        <v>11666.666666666666</v>
      </c>
      <c r="I6" s="64">
        <f>H6*(1+Inputs!$C$16)</f>
        <v>13416.666666666664</v>
      </c>
      <c r="J6" s="64">
        <f>F6*G6/12*(1+Inputs!$C$16)</f>
        <v>13416.666666666664</v>
      </c>
      <c r="K6" s="64">
        <f>F6*G6/12*(1+Inputs!$C$16)</f>
        <v>13416.666666666664</v>
      </c>
      <c r="L6" s="64">
        <f>F6*G6/12*(1+Inputs!$C$16)</f>
        <v>13416.666666666664</v>
      </c>
      <c r="M6" s="64">
        <f>F6*G6/12*(1+Inputs!$C$16)</f>
        <v>13416.666666666664</v>
      </c>
      <c r="N6" s="64">
        <f>F6*G6/12*(1+Inputs!$C$16)</f>
        <v>13416.666666666664</v>
      </c>
      <c r="O6" s="64">
        <f>F6*G6/12*(1+Inputs!$C$16)</f>
        <v>13416.666666666664</v>
      </c>
      <c r="P6" s="64">
        <f>F6*G6/12*(1+Inputs!$C$16)</f>
        <v>13416.666666666664</v>
      </c>
      <c r="Q6" s="64">
        <f>F6*G6/12*(1+Inputs!$C$16)</f>
        <v>13416.666666666664</v>
      </c>
      <c r="R6" s="64">
        <f>F6*G6/12*(1+Inputs!$C$16)</f>
        <v>13416.666666666664</v>
      </c>
      <c r="S6" s="64">
        <f>F6*G6/12*(1+Inputs!$C$16)</f>
        <v>13416.666666666664</v>
      </c>
      <c r="T6" s="64">
        <f>F6*G6/12*(1+Inputs!$C$16)</f>
        <v>13416.666666666664</v>
      </c>
      <c r="U6" s="64">
        <f>F6*G6/12*(1+Inputs!$C$16)</f>
        <v>13416.666666666664</v>
      </c>
      <c r="V6" s="64">
        <f>F6*(1+Inputs!$C$17)*G6/12*(1+Inputs!$C$16)</f>
        <v>14489.999999999998</v>
      </c>
      <c r="W6" s="64">
        <f>F6*(1+Inputs!$C$17)*G6/12*(1+Inputs!$C$16)</f>
        <v>14489.999999999998</v>
      </c>
      <c r="X6" s="64">
        <f>F6*(1+Inputs!$C$17)*G6/12*(1+Inputs!$C$16)</f>
        <v>14489.999999999998</v>
      </c>
      <c r="Y6" s="64">
        <f>F6*(1+Inputs!$C$17)*G6/12*(1+Inputs!$C$16)</f>
        <v>14489.999999999998</v>
      </c>
      <c r="Z6" s="64">
        <f>F6*(1+Inputs!$C$17)*G6/12*(1+Inputs!$C$16)</f>
        <v>14489.999999999998</v>
      </c>
      <c r="AA6" s="64">
        <f>F6*(1+Inputs!$C$17)*G6/12*(1+Inputs!$C$16)</f>
        <v>14489.999999999998</v>
      </c>
      <c r="AB6" s="64">
        <f>F6*(1+Inputs!$C$17)*G6/12*(1+Inputs!$C$16)</f>
        <v>14489.999999999998</v>
      </c>
      <c r="AC6" s="64">
        <f>F6*(1+Inputs!$C$17)*G6/12*(1+Inputs!$C$16)</f>
        <v>14489.999999999998</v>
      </c>
      <c r="AD6" s="64">
        <f>F6*(1+Inputs!$C$17)*G6/12*(1+Inputs!$C$16)</f>
        <v>14489.999999999998</v>
      </c>
      <c r="AE6" s="64">
        <f>F6*(1+Inputs!$C$17)*G6/12*(1+Inputs!$C$16)</f>
        <v>14489.999999999998</v>
      </c>
      <c r="AF6" s="64">
        <f>F6*(1+Inputs!$C$17)*G6/12*(1+Inputs!$C$16)</f>
        <v>14489.999999999998</v>
      </c>
      <c r="AG6" s="64">
        <f>F6*(1+Inputs!$C$17)*G6/12*(1+Inputs!$C$16)</f>
        <v>14489.999999999998</v>
      </c>
    </row>
    <row r="7" spans="2:39" ht="19.5" customHeight="1" x14ac:dyDescent="0.3">
      <c r="B7" s="10" t="s">
        <v>67</v>
      </c>
      <c r="C7" s="10" t="s">
        <v>71</v>
      </c>
      <c r="D7" s="11" t="s">
        <v>46</v>
      </c>
      <c r="E7" s="11" t="s">
        <v>69</v>
      </c>
      <c r="F7" s="59">
        <v>50000</v>
      </c>
      <c r="G7" s="12">
        <v>1</v>
      </c>
      <c r="H7" s="64">
        <f t="shared" si="0"/>
        <v>4166.666666666667</v>
      </c>
      <c r="I7" s="64">
        <f>H7*(1+Inputs!$C$16)</f>
        <v>4791.666666666667</v>
      </c>
      <c r="J7" s="13">
        <v>0</v>
      </c>
      <c r="K7" s="13">
        <v>0</v>
      </c>
      <c r="L7" s="13">
        <v>0</v>
      </c>
      <c r="M7" s="64">
        <f>F7*G7/12*(1+Inputs!$C$16)</f>
        <v>4791.666666666667</v>
      </c>
      <c r="N7" s="64">
        <f>F7*G7/12*(1+Inputs!$C$16)</f>
        <v>4791.666666666667</v>
      </c>
      <c r="O7" s="64">
        <f>F7*G7/12*(1+Inputs!$C$16)</f>
        <v>4791.666666666667</v>
      </c>
      <c r="P7" s="64">
        <f>F7*G7/12*(1+Inputs!$C$16)</f>
        <v>4791.666666666667</v>
      </c>
      <c r="Q7" s="64">
        <f>F7*G7/12*(1+Inputs!$C$16)</f>
        <v>4791.666666666667</v>
      </c>
      <c r="R7" s="64">
        <f>F7*G7/12*(1+Inputs!$C$16)</f>
        <v>4791.666666666667</v>
      </c>
      <c r="S7" s="64">
        <f>F7*G7/12*(1+Inputs!$C$16)</f>
        <v>4791.666666666667</v>
      </c>
      <c r="T7" s="64">
        <f>F7*G7/12*(1+Inputs!$C$16)</f>
        <v>4791.666666666667</v>
      </c>
      <c r="U7" s="64">
        <f>F7*G7/12*(1+Inputs!$C$16)</f>
        <v>4791.666666666667</v>
      </c>
      <c r="V7" s="64">
        <f>F7*(1+Inputs!$C$17)*G7/12*(1+Inputs!$C$16)</f>
        <v>5175</v>
      </c>
      <c r="W7" s="64">
        <f>F7*(1+Inputs!$C$17)*G7/12*(1+Inputs!$C$16)</f>
        <v>5175</v>
      </c>
      <c r="X7" s="64">
        <f>F7*(1+Inputs!$C$17)*G7/12*(1+Inputs!$C$16)</f>
        <v>5175</v>
      </c>
      <c r="Y7" s="64">
        <f>F7*(1+Inputs!$C$17)*G7/12*(1+Inputs!$C$16)</f>
        <v>5175</v>
      </c>
      <c r="Z7" s="64">
        <f>F7*(1+Inputs!$C$17)*G7/12*(1+Inputs!$C$16)</f>
        <v>5175</v>
      </c>
      <c r="AA7" s="64">
        <f>F7*(1+Inputs!$C$17)*G7/12*(1+Inputs!$C$16)</f>
        <v>5175</v>
      </c>
      <c r="AB7" s="64">
        <f>F7*(1+Inputs!$C$17)*G7/12*(1+Inputs!$C$16)</f>
        <v>5175</v>
      </c>
      <c r="AC7" s="64">
        <f>F7*(1+Inputs!$C$17)*G7/12*(1+Inputs!$C$16)</f>
        <v>5175</v>
      </c>
      <c r="AD7" s="64">
        <f>F7*(1+Inputs!$C$17)*G7/12*(1+Inputs!$C$16)</f>
        <v>5175</v>
      </c>
      <c r="AE7" s="64">
        <f>F7*(1+Inputs!$C$17)*G7/12*(1+Inputs!$C$16)</f>
        <v>5175</v>
      </c>
      <c r="AF7" s="64">
        <f>F7*(1+Inputs!$C$17)*G7/12*(1+Inputs!$C$16)</f>
        <v>5175</v>
      </c>
      <c r="AG7" s="64">
        <f>F7*(1+Inputs!$C$17)*G7/12*(1+Inputs!$C$16)</f>
        <v>5175</v>
      </c>
    </row>
    <row r="8" spans="2:39" ht="19.5" customHeight="1" x14ac:dyDescent="0.3">
      <c r="B8" s="14" t="s">
        <v>72</v>
      </c>
      <c r="C8" s="14" t="s">
        <v>73</v>
      </c>
      <c r="D8" s="15" t="s">
        <v>18</v>
      </c>
      <c r="E8" s="15" t="s">
        <v>69</v>
      </c>
      <c r="F8" s="60">
        <v>100000</v>
      </c>
      <c r="G8" s="16">
        <v>1</v>
      </c>
      <c r="H8" s="65">
        <f t="shared" si="0"/>
        <v>8333.3333333333339</v>
      </c>
      <c r="I8" s="65">
        <f>H8*(1+Inputs!$C$16)</f>
        <v>9583.3333333333339</v>
      </c>
      <c r="J8" s="65">
        <f>F8*G8/12*(1+Inputs!$C$16)</f>
        <v>9583.3333333333339</v>
      </c>
      <c r="K8" s="65">
        <f>F8*G8/12*(1+Inputs!$C$16)</f>
        <v>9583.3333333333339</v>
      </c>
      <c r="L8" s="65">
        <f>F8*G8/12*(1+Inputs!$C$16)</f>
        <v>9583.3333333333339</v>
      </c>
      <c r="M8" s="65">
        <f>F8*G8/12*(1+Inputs!$C$16)</f>
        <v>9583.3333333333339</v>
      </c>
      <c r="N8" s="65">
        <f>F8*G8/12*(1+Inputs!$C$16)</f>
        <v>9583.3333333333339</v>
      </c>
      <c r="O8" s="65">
        <f>F8*G8/12*(1+Inputs!$C$16)</f>
        <v>9583.3333333333339</v>
      </c>
      <c r="P8" s="65">
        <f>F8*G8/12*(1+Inputs!$C$16)</f>
        <v>9583.3333333333339</v>
      </c>
      <c r="Q8" s="65">
        <f>F8*G8/12*(1+Inputs!$C$16)</f>
        <v>9583.3333333333339</v>
      </c>
      <c r="R8" s="65">
        <f>F8*G8/12*(1+Inputs!$C$16)</f>
        <v>9583.3333333333339</v>
      </c>
      <c r="S8" s="65">
        <f>F8*G8/12*(1+Inputs!$C$16)</f>
        <v>9583.3333333333339</v>
      </c>
      <c r="T8" s="65">
        <f>F8*G8/12*(1+Inputs!$C$16)</f>
        <v>9583.3333333333339</v>
      </c>
      <c r="U8" s="65">
        <f>F8*G8/12*(1+Inputs!$C$16)</f>
        <v>9583.3333333333339</v>
      </c>
      <c r="V8" s="65">
        <f>F8*(1+Inputs!$C$17)*G8/12*(1+Inputs!$C$16)</f>
        <v>10350</v>
      </c>
      <c r="W8" s="65">
        <f>F8*(1+Inputs!$C$17)*G8/12*(1+Inputs!$C$16)</f>
        <v>10350</v>
      </c>
      <c r="X8" s="65">
        <f>F8*(1+Inputs!$C$17)*G8/12*(1+Inputs!$C$16)</f>
        <v>10350</v>
      </c>
      <c r="Y8" s="65">
        <f>F8*(1+Inputs!$C$17)*G8/12*(1+Inputs!$C$16)</f>
        <v>10350</v>
      </c>
      <c r="Z8" s="65">
        <f>F8*(1+Inputs!$C$17)*G8/12*(1+Inputs!$C$16)</f>
        <v>10350</v>
      </c>
      <c r="AA8" s="65">
        <f>F8*(1+Inputs!$C$17)*G8/12*(1+Inputs!$C$16)</f>
        <v>10350</v>
      </c>
      <c r="AB8" s="65">
        <f>F8*(1+Inputs!$C$17)*G8/12*(1+Inputs!$C$16)</f>
        <v>10350</v>
      </c>
      <c r="AC8" s="65">
        <f>F8*(1+Inputs!$C$17)*G8/12*(1+Inputs!$C$16)</f>
        <v>10350</v>
      </c>
      <c r="AD8" s="65">
        <f>F8*(1+Inputs!$C$17)*G8/12*(1+Inputs!$C$16)</f>
        <v>10350</v>
      </c>
      <c r="AE8" s="65">
        <f>F8*(1+Inputs!$C$17)*G8/12*(1+Inputs!$C$16)</f>
        <v>10350</v>
      </c>
      <c r="AF8" s="65">
        <f>F8*(1+Inputs!$C$17)*G8/12*(1+Inputs!$C$16)</f>
        <v>10350</v>
      </c>
      <c r="AG8" s="65">
        <f>F8*(1+Inputs!$C$17)*G8/12*(1+Inputs!$C$16)</f>
        <v>10350</v>
      </c>
    </row>
    <row r="9" spans="2:39" ht="19.5" customHeight="1" x14ac:dyDescent="0.3">
      <c r="B9" s="14" t="s">
        <v>72</v>
      </c>
      <c r="C9" s="14" t="s">
        <v>74</v>
      </c>
      <c r="D9" s="15" t="s">
        <v>48</v>
      </c>
      <c r="E9" s="15" t="s">
        <v>69</v>
      </c>
      <c r="F9" s="60">
        <v>90000</v>
      </c>
      <c r="G9" s="16">
        <v>1</v>
      </c>
      <c r="H9" s="65">
        <f t="shared" si="0"/>
        <v>7500</v>
      </c>
      <c r="I9" s="65">
        <f>H9*(1+Inputs!$C$16)</f>
        <v>8625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65">
        <f>F9*G9/12*(1+Inputs!$C$16)</f>
        <v>8625</v>
      </c>
      <c r="P9" s="65">
        <f>F9*G9/12*(1+Inputs!$C$16)</f>
        <v>8625</v>
      </c>
      <c r="Q9" s="65">
        <f>F9*G9/12*(1+Inputs!$C$16)</f>
        <v>8625</v>
      </c>
      <c r="R9" s="65">
        <f>F9*G9/12*(1+Inputs!$C$16)</f>
        <v>8625</v>
      </c>
      <c r="S9" s="65">
        <f>F9*G9/12*(1+Inputs!$C$16)</f>
        <v>8625</v>
      </c>
      <c r="T9" s="65">
        <f>F9*G9/12*(1+Inputs!$C$16)</f>
        <v>8625</v>
      </c>
      <c r="U9" s="65">
        <f>F9*G9/12*(1+Inputs!$C$16)</f>
        <v>8625</v>
      </c>
      <c r="V9" s="65">
        <f>F9*(1+Inputs!$C$17)*G9/12*(1+Inputs!$C$16)</f>
        <v>9315</v>
      </c>
      <c r="W9" s="65">
        <f>F9*(1+Inputs!$C$17)*G9/12*(1+Inputs!$C$16)</f>
        <v>9315</v>
      </c>
      <c r="X9" s="65">
        <f>F9*(1+Inputs!$C$17)*G9/12*(1+Inputs!$C$16)</f>
        <v>9315</v>
      </c>
      <c r="Y9" s="65">
        <f>F9*(1+Inputs!$C$17)*G9/12*(1+Inputs!$C$16)</f>
        <v>9315</v>
      </c>
      <c r="Z9" s="65">
        <f>F9*(1+Inputs!$C$17)*G9/12*(1+Inputs!$C$16)</f>
        <v>9315</v>
      </c>
      <c r="AA9" s="65">
        <f>F9*(1+Inputs!$C$17)*G9/12*(1+Inputs!$C$16)</f>
        <v>9315</v>
      </c>
      <c r="AB9" s="65">
        <f>F9*(1+Inputs!$C$17)*G9/12*(1+Inputs!$C$16)</f>
        <v>9315</v>
      </c>
      <c r="AC9" s="65">
        <f>F9*(1+Inputs!$C$17)*G9/12*(1+Inputs!$C$16)</f>
        <v>9315</v>
      </c>
      <c r="AD9" s="65">
        <f>F9*(1+Inputs!$C$17)*G9/12*(1+Inputs!$C$16)</f>
        <v>9315</v>
      </c>
      <c r="AE9" s="65">
        <f>F9*(1+Inputs!$C$17)*G9/12*(1+Inputs!$C$16)</f>
        <v>9315</v>
      </c>
      <c r="AF9" s="65">
        <f>F9*(1+Inputs!$C$17)*G9/12*(1+Inputs!$C$16)</f>
        <v>9315</v>
      </c>
      <c r="AG9" s="65">
        <f>F9*(1+Inputs!$C$17)*G9/12*(1+Inputs!$C$16)</f>
        <v>9315</v>
      </c>
    </row>
    <row r="10" spans="2:39" ht="19.5" customHeight="1" x14ac:dyDescent="0.3">
      <c r="B10" s="18" t="s">
        <v>75</v>
      </c>
      <c r="C10" s="18" t="s">
        <v>76</v>
      </c>
      <c r="D10" s="19" t="s">
        <v>18</v>
      </c>
      <c r="E10" s="19" t="s">
        <v>69</v>
      </c>
      <c r="F10" s="61">
        <v>110000</v>
      </c>
      <c r="G10" s="20">
        <v>1</v>
      </c>
      <c r="H10" s="66">
        <f t="shared" si="0"/>
        <v>9166.6666666666661</v>
      </c>
      <c r="I10" s="66">
        <f>H10*(1+Inputs!$C$16)</f>
        <v>10541.666666666666</v>
      </c>
      <c r="J10" s="66">
        <f>F10*G10/12*(1+Inputs!$C$16)</f>
        <v>10541.666666666666</v>
      </c>
      <c r="K10" s="66">
        <f>F10*G10/12*(1+Inputs!$C$16)</f>
        <v>10541.666666666666</v>
      </c>
      <c r="L10" s="66">
        <f>F10*G10/12*(1+Inputs!$C$16)</f>
        <v>10541.666666666666</v>
      </c>
      <c r="M10" s="66">
        <f>F10*G10/12*(1+Inputs!$C$16)</f>
        <v>10541.666666666666</v>
      </c>
      <c r="N10" s="66">
        <f>F10*G10/12*(1+Inputs!$C$16)</f>
        <v>10541.666666666666</v>
      </c>
      <c r="O10" s="66">
        <f>F10*G10/12*(1+Inputs!$C$16)</f>
        <v>10541.666666666666</v>
      </c>
      <c r="P10" s="66">
        <f>F10*G10/12*(1+Inputs!$C$16)</f>
        <v>10541.666666666666</v>
      </c>
      <c r="Q10" s="66">
        <f>F10*G10/12*(1+Inputs!$C$16)</f>
        <v>10541.666666666666</v>
      </c>
      <c r="R10" s="66">
        <f>F10*G10/12*(1+Inputs!$C$16)</f>
        <v>10541.666666666666</v>
      </c>
      <c r="S10" s="66">
        <f>F10*G10/12*(1+Inputs!$C$16)</f>
        <v>10541.666666666666</v>
      </c>
      <c r="T10" s="66">
        <f>F10*G10/12*(1+Inputs!$C$16)</f>
        <v>10541.666666666666</v>
      </c>
      <c r="U10" s="66">
        <f>F10*G10/12*(1+Inputs!$C$16)</f>
        <v>10541.666666666666</v>
      </c>
      <c r="V10" s="66">
        <f>F10*(1+Inputs!$C$17)*G10/12*(1+Inputs!$C$16)</f>
        <v>11385.000000000002</v>
      </c>
      <c r="W10" s="66">
        <f>F10*(1+Inputs!$C$17)*G10/12*(1+Inputs!$C$16)</f>
        <v>11385.000000000002</v>
      </c>
      <c r="X10" s="66">
        <f>F10*(1+Inputs!$C$17)*G10/12*(1+Inputs!$C$16)</f>
        <v>11385.000000000002</v>
      </c>
      <c r="Y10" s="66">
        <f>F10*(1+Inputs!$C$17)*G10/12*(1+Inputs!$C$16)</f>
        <v>11385.000000000002</v>
      </c>
      <c r="Z10" s="66">
        <f>F10*(1+Inputs!$C$17)*G10/12*(1+Inputs!$C$16)</f>
        <v>11385.000000000002</v>
      </c>
      <c r="AA10" s="66">
        <f>F10*(1+Inputs!$C$17)*G10/12*(1+Inputs!$C$16)</f>
        <v>11385.000000000002</v>
      </c>
      <c r="AB10" s="66">
        <f>F10*(1+Inputs!$C$17)*G10/12*(1+Inputs!$C$16)</f>
        <v>11385.000000000002</v>
      </c>
      <c r="AC10" s="66">
        <f>F10*(1+Inputs!$C$17)*G10/12*(1+Inputs!$C$16)</f>
        <v>11385.000000000002</v>
      </c>
      <c r="AD10" s="66">
        <f>F10*(1+Inputs!$C$17)*G10/12*(1+Inputs!$C$16)</f>
        <v>11385.000000000002</v>
      </c>
      <c r="AE10" s="66">
        <f>F10*(1+Inputs!$C$17)*G10/12*(1+Inputs!$C$16)</f>
        <v>11385.000000000002</v>
      </c>
      <c r="AF10" s="66">
        <f>F10*(1+Inputs!$C$17)*G10/12*(1+Inputs!$C$16)</f>
        <v>11385.000000000002</v>
      </c>
      <c r="AG10" s="66">
        <f>F10*(1+Inputs!$C$17)*G10/12*(1+Inputs!$C$16)</f>
        <v>11385.000000000002</v>
      </c>
    </row>
    <row r="11" spans="2:39" ht="19.5" customHeight="1" x14ac:dyDescent="0.3">
      <c r="B11" s="18" t="s">
        <v>75</v>
      </c>
      <c r="C11" s="18" t="s">
        <v>77</v>
      </c>
      <c r="D11" s="19" t="s">
        <v>45</v>
      </c>
      <c r="E11" s="19" t="s">
        <v>69</v>
      </c>
      <c r="F11" s="61">
        <v>75000</v>
      </c>
      <c r="G11" s="20">
        <v>2</v>
      </c>
      <c r="H11" s="66">
        <f t="shared" si="0"/>
        <v>12500</v>
      </c>
      <c r="I11" s="66">
        <f>H11*(1+Inputs!$C$16)</f>
        <v>14374.999999999998</v>
      </c>
      <c r="J11" s="21">
        <v>0</v>
      </c>
      <c r="K11" s="21">
        <v>0</v>
      </c>
      <c r="L11" s="66">
        <f>F11*G11/12*(1+Inputs!$C$16)</f>
        <v>14374.999999999998</v>
      </c>
      <c r="M11" s="66">
        <f>F11*G11/12*(1+Inputs!$C$16)</f>
        <v>14374.999999999998</v>
      </c>
      <c r="N11" s="66">
        <f>F11*G11/12*(1+Inputs!$C$16)</f>
        <v>14374.999999999998</v>
      </c>
      <c r="O11" s="66">
        <f>F11*G11/12*(1+Inputs!$C$16)</f>
        <v>14374.999999999998</v>
      </c>
      <c r="P11" s="66">
        <f>F11*G11/12*(1+Inputs!$C$16)</f>
        <v>14374.999999999998</v>
      </c>
      <c r="Q11" s="66">
        <f>F11*G11/12*(1+Inputs!$C$16)</f>
        <v>14374.999999999998</v>
      </c>
      <c r="R11" s="66">
        <f>F11*G11/12*(1+Inputs!$C$16)</f>
        <v>14374.999999999998</v>
      </c>
      <c r="S11" s="66">
        <f>F11*G11/12*(1+Inputs!$C$16)</f>
        <v>14374.999999999998</v>
      </c>
      <c r="T11" s="66">
        <f>F11*G11/12*(1+Inputs!$C$16)</f>
        <v>14374.999999999998</v>
      </c>
      <c r="U11" s="66">
        <f>F11*G11/12*(1+Inputs!$C$16)</f>
        <v>14374.999999999998</v>
      </c>
      <c r="V11" s="66">
        <f>F11*(1+Inputs!$C$17)*G11/12*(1+Inputs!$C$16)</f>
        <v>15524.999999999998</v>
      </c>
      <c r="W11" s="66">
        <f>F11*(1+Inputs!$C$17)*G11/12*(1+Inputs!$C$16)</f>
        <v>15524.999999999998</v>
      </c>
      <c r="X11" s="66">
        <f>F11*(1+Inputs!$C$17)*G11/12*(1+Inputs!$C$16)</f>
        <v>15524.999999999998</v>
      </c>
      <c r="Y11" s="66">
        <f>F11*(1+Inputs!$C$17)*G11/12*(1+Inputs!$C$16)</f>
        <v>15524.999999999998</v>
      </c>
      <c r="Z11" s="66">
        <f>F11*(1+Inputs!$C$17)*G11/12*(1+Inputs!$C$16)</f>
        <v>15524.999999999998</v>
      </c>
      <c r="AA11" s="66">
        <f>F11*(1+Inputs!$C$17)*G11/12*(1+Inputs!$C$16)</f>
        <v>15524.999999999998</v>
      </c>
      <c r="AB11" s="66">
        <f>F11*(1+Inputs!$C$17)*G11/12*(1+Inputs!$C$16)</f>
        <v>15524.999999999998</v>
      </c>
      <c r="AC11" s="66">
        <f>F11*(1+Inputs!$C$17)*G11/12*(1+Inputs!$C$16)</f>
        <v>15524.999999999998</v>
      </c>
      <c r="AD11" s="66">
        <f>F11*(1+Inputs!$C$17)*G11/12*(1+Inputs!$C$16)</f>
        <v>15524.999999999998</v>
      </c>
      <c r="AE11" s="66">
        <f>F11*(1+Inputs!$C$17)*G11/12*(1+Inputs!$C$16)</f>
        <v>15524.999999999998</v>
      </c>
      <c r="AF11" s="66">
        <f>F11*(1+Inputs!$C$17)*G11/12*(1+Inputs!$C$16)</f>
        <v>15524.999999999998</v>
      </c>
      <c r="AG11" s="66">
        <f>F11*(1+Inputs!$C$17)*G11/12*(1+Inputs!$C$16)</f>
        <v>15524.999999999998</v>
      </c>
    </row>
    <row r="12" spans="2:39" ht="19.5" customHeight="1" x14ac:dyDescent="0.3">
      <c r="B12" s="22" t="s">
        <v>78</v>
      </c>
      <c r="C12" s="22" t="s">
        <v>79</v>
      </c>
      <c r="D12" s="23" t="s">
        <v>44</v>
      </c>
      <c r="E12" s="23" t="s">
        <v>69</v>
      </c>
      <c r="F12" s="62">
        <v>90000</v>
      </c>
      <c r="G12" s="24">
        <v>1</v>
      </c>
      <c r="H12" s="67">
        <f t="shared" si="0"/>
        <v>7500</v>
      </c>
      <c r="I12" s="67">
        <f>H12*(1+Inputs!$C$16)</f>
        <v>8625</v>
      </c>
      <c r="J12" s="25">
        <v>0</v>
      </c>
      <c r="K12" s="67">
        <f>F12*G12/12*(1+Inputs!$C$16)</f>
        <v>8625</v>
      </c>
      <c r="L12" s="67">
        <f>F12*G12/12*(1+Inputs!$C$16)</f>
        <v>8625</v>
      </c>
      <c r="M12" s="67">
        <f>F12*G12/12*(1+Inputs!$C$16)</f>
        <v>8625</v>
      </c>
      <c r="N12" s="67">
        <f>F12*G12/12*(1+Inputs!$C$16)</f>
        <v>8625</v>
      </c>
      <c r="O12" s="67">
        <f>F12*G12/12*(1+Inputs!$C$16)</f>
        <v>8625</v>
      </c>
      <c r="P12" s="67">
        <f>F12*G12/12*(1+Inputs!$C$16)</f>
        <v>8625</v>
      </c>
      <c r="Q12" s="67">
        <f>F12*G12/12*(1+Inputs!$C$16)</f>
        <v>8625</v>
      </c>
      <c r="R12" s="67">
        <f>F12*G12/12*(1+Inputs!$C$16)</f>
        <v>8625</v>
      </c>
      <c r="S12" s="67">
        <f>F12*G12/12*(1+Inputs!$C$16)</f>
        <v>8625</v>
      </c>
      <c r="T12" s="67">
        <f>F12*G12/12*(1+Inputs!$C$16)</f>
        <v>8625</v>
      </c>
      <c r="U12" s="67">
        <f>F12*G12/12*(1+Inputs!$C$16)</f>
        <v>8625</v>
      </c>
      <c r="V12" s="67">
        <f>F12*(1+Inputs!$C$17)*G12/12*(1+Inputs!$C$16)</f>
        <v>9315</v>
      </c>
      <c r="W12" s="67">
        <f>F12*(1+Inputs!$C$17)*G12/12*(1+Inputs!$C$16)</f>
        <v>9315</v>
      </c>
      <c r="X12" s="67">
        <f>F12*(1+Inputs!$C$17)*G12/12*(1+Inputs!$C$16)</f>
        <v>9315</v>
      </c>
      <c r="Y12" s="67">
        <f>F12*(1+Inputs!$C$17)*G12/12*(1+Inputs!$C$16)</f>
        <v>9315</v>
      </c>
      <c r="Z12" s="67">
        <f>F12*(1+Inputs!$C$17)*G12/12*(1+Inputs!$C$16)</f>
        <v>9315</v>
      </c>
      <c r="AA12" s="67">
        <f>F12*(1+Inputs!$C$17)*G12/12*(1+Inputs!$C$16)</f>
        <v>9315</v>
      </c>
      <c r="AB12" s="67">
        <f>F12*(1+Inputs!$C$17)*G12/12*(1+Inputs!$C$16)</f>
        <v>9315</v>
      </c>
      <c r="AC12" s="67">
        <f>F12*(1+Inputs!$C$17)*G12/12*(1+Inputs!$C$16)</f>
        <v>9315</v>
      </c>
      <c r="AD12" s="67">
        <f>F12*(1+Inputs!$C$17)*G12/12*(1+Inputs!$C$16)</f>
        <v>9315</v>
      </c>
      <c r="AE12" s="67">
        <f>F12*(1+Inputs!$C$17)*G12/12*(1+Inputs!$C$16)</f>
        <v>9315</v>
      </c>
      <c r="AF12" s="67">
        <f>F12*(1+Inputs!$C$17)*G12/12*(1+Inputs!$C$16)</f>
        <v>9315</v>
      </c>
      <c r="AG12" s="67">
        <f>F12*(1+Inputs!$C$17)*G12/12*(1+Inputs!$C$16)</f>
        <v>9315</v>
      </c>
    </row>
    <row r="13" spans="2:39" ht="19.5" customHeight="1" x14ac:dyDescent="0.3">
      <c r="B13" s="26" t="s">
        <v>80</v>
      </c>
      <c r="C13" s="26" t="s">
        <v>81</v>
      </c>
      <c r="D13" s="27" t="s">
        <v>18</v>
      </c>
      <c r="E13" s="27" t="s">
        <v>69</v>
      </c>
      <c r="F13" s="63">
        <v>150000</v>
      </c>
      <c r="G13" s="28">
        <v>1</v>
      </c>
      <c r="H13" s="68">
        <f t="shared" si="0"/>
        <v>12500</v>
      </c>
      <c r="I13" s="68">
        <f>H13*(1+Inputs!$C$16)</f>
        <v>14374.999999999998</v>
      </c>
      <c r="J13" s="68">
        <f>F13*G13/12*(1+Inputs!$C$16)</f>
        <v>14374.999999999998</v>
      </c>
      <c r="K13" s="68">
        <f>F13*G13/12*(1+Inputs!$C$16)</f>
        <v>14374.999999999998</v>
      </c>
      <c r="L13" s="68">
        <f>F13*G13/12*(1+Inputs!$C$16)</f>
        <v>14374.999999999998</v>
      </c>
      <c r="M13" s="68">
        <f>F13*G13/12*(1+Inputs!$C$16)</f>
        <v>14374.999999999998</v>
      </c>
      <c r="N13" s="68">
        <f>F13*G13/12*(1+Inputs!$C$16)</f>
        <v>14374.999999999998</v>
      </c>
      <c r="O13" s="68">
        <f>F13*G13/12*(1+Inputs!$C$16)</f>
        <v>14374.999999999998</v>
      </c>
      <c r="P13" s="68">
        <f>F13*G13/12*(1+Inputs!$C$16)</f>
        <v>14374.999999999998</v>
      </c>
      <c r="Q13" s="68">
        <f>F13*G13/12*(1+Inputs!$C$16)</f>
        <v>14374.999999999998</v>
      </c>
      <c r="R13" s="68">
        <f>F13*G13/12*(1+Inputs!$C$16)</f>
        <v>14374.999999999998</v>
      </c>
      <c r="S13" s="68">
        <f>F13*G13/12*(1+Inputs!$C$16)</f>
        <v>14374.999999999998</v>
      </c>
      <c r="T13" s="68">
        <f>F13*G13/12*(1+Inputs!$C$16)</f>
        <v>14374.999999999998</v>
      </c>
      <c r="U13" s="68">
        <f>F13*G13/12*(1+Inputs!$C$16)</f>
        <v>14374.999999999998</v>
      </c>
      <c r="V13" s="68">
        <f>F13*(1+Inputs!$C$17)*G13/12*(1+Inputs!$C$16)</f>
        <v>15524.999999999998</v>
      </c>
      <c r="W13" s="68">
        <f>F13*(1+Inputs!$C$17)*G13/12*(1+Inputs!$C$16)</f>
        <v>15524.999999999998</v>
      </c>
      <c r="X13" s="68">
        <f>F13*(1+Inputs!$C$17)*G13/12*(1+Inputs!$C$16)</f>
        <v>15524.999999999998</v>
      </c>
      <c r="Y13" s="68">
        <f>F13*(1+Inputs!$C$17)*G13/12*(1+Inputs!$C$16)</f>
        <v>15524.999999999998</v>
      </c>
      <c r="Z13" s="68">
        <f>F13*(1+Inputs!$C$17)*G13/12*(1+Inputs!$C$16)</f>
        <v>15524.999999999998</v>
      </c>
      <c r="AA13" s="68">
        <f>F13*(1+Inputs!$C$17)*G13/12*(1+Inputs!$C$16)</f>
        <v>15524.999999999998</v>
      </c>
      <c r="AB13" s="68">
        <f>F13*(1+Inputs!$C$17)*G13/12*(1+Inputs!$C$16)</f>
        <v>15524.999999999998</v>
      </c>
      <c r="AC13" s="68">
        <f>F13*(1+Inputs!$C$17)*G13/12*(1+Inputs!$C$16)</f>
        <v>15524.999999999998</v>
      </c>
      <c r="AD13" s="68">
        <f>F13*(1+Inputs!$C$17)*G13/12*(1+Inputs!$C$16)</f>
        <v>15524.999999999998</v>
      </c>
      <c r="AE13" s="68">
        <f>F13*(1+Inputs!$C$17)*G13/12*(1+Inputs!$C$16)</f>
        <v>15524.999999999998</v>
      </c>
      <c r="AF13" s="68">
        <f>F13*(1+Inputs!$C$17)*G13/12*(1+Inputs!$C$16)</f>
        <v>15524.999999999998</v>
      </c>
      <c r="AG13" s="68">
        <f>F13*(1+Inputs!$C$17)*G13/12*(1+Inputs!$C$16)</f>
        <v>15524.999999999998</v>
      </c>
    </row>
    <row r="14" spans="2:39" ht="19.5" customHeight="1" x14ac:dyDescent="0.3">
      <c r="B14" s="26" t="s">
        <v>80</v>
      </c>
      <c r="C14" s="26" t="s">
        <v>82</v>
      </c>
      <c r="D14" s="27" t="s">
        <v>49</v>
      </c>
      <c r="E14" s="27" t="s">
        <v>69</v>
      </c>
      <c r="F14" s="63">
        <v>90000</v>
      </c>
      <c r="G14" s="28">
        <v>1</v>
      </c>
      <c r="H14" s="68">
        <f t="shared" si="0"/>
        <v>7500</v>
      </c>
      <c r="I14" s="68">
        <f>H14*(1+Inputs!$C$16)</f>
        <v>8625</v>
      </c>
      <c r="J14" s="29">
        <v>0</v>
      </c>
      <c r="K14" s="29">
        <v>0</v>
      </c>
      <c r="L14" s="29">
        <v>0</v>
      </c>
      <c r="M14" s="29">
        <v>0</v>
      </c>
      <c r="N14" s="29">
        <v>0</v>
      </c>
      <c r="O14" s="29">
        <v>0</v>
      </c>
      <c r="P14" s="68">
        <f>F14*G14/12*(1+Inputs!$C$16)</f>
        <v>8625</v>
      </c>
      <c r="Q14" s="68">
        <f>F14*G14/12*(1+Inputs!$C$16)</f>
        <v>8625</v>
      </c>
      <c r="R14" s="68">
        <f>F14*G14/12*(1+Inputs!$C$16)</f>
        <v>8625</v>
      </c>
      <c r="S14" s="68">
        <f>F14*G14/12*(1+Inputs!$C$16)</f>
        <v>8625</v>
      </c>
      <c r="T14" s="68">
        <f>F14*G14/12*(1+Inputs!$C$16)</f>
        <v>8625</v>
      </c>
      <c r="U14" s="68">
        <f>F14*G14/12*(1+Inputs!$C$16)</f>
        <v>8625</v>
      </c>
      <c r="V14" s="68">
        <f>F14*(1+Inputs!$C$17)*G14/12*(1+Inputs!$C$16)</f>
        <v>9315</v>
      </c>
      <c r="W14" s="68">
        <f>F14*(1+Inputs!$C$17)*G14/12*(1+Inputs!$C$16)</f>
        <v>9315</v>
      </c>
      <c r="X14" s="68">
        <f>F14*(1+Inputs!$C$17)*G14/12*(1+Inputs!$C$16)</f>
        <v>9315</v>
      </c>
      <c r="Y14" s="68">
        <f>F14*(1+Inputs!$C$17)*G14/12*(1+Inputs!$C$16)</f>
        <v>9315</v>
      </c>
      <c r="Z14" s="68">
        <f>F14*(1+Inputs!$C$17)*G14/12*(1+Inputs!$C$16)</f>
        <v>9315</v>
      </c>
      <c r="AA14" s="68">
        <f>F14*(1+Inputs!$C$17)*G14/12*(1+Inputs!$C$16)</f>
        <v>9315</v>
      </c>
      <c r="AB14" s="68">
        <f>F14*(1+Inputs!$C$17)*G14/12*(1+Inputs!$C$16)</f>
        <v>9315</v>
      </c>
      <c r="AC14" s="68">
        <f>F14*(1+Inputs!$C$17)*G14/12*(1+Inputs!$C$16)</f>
        <v>9315</v>
      </c>
      <c r="AD14" s="68">
        <f>F14*(1+Inputs!$C$17)*G14/12*(1+Inputs!$C$16)</f>
        <v>9315</v>
      </c>
      <c r="AE14" s="68">
        <f>F14*(1+Inputs!$C$17)*G14/12*(1+Inputs!$C$16)</f>
        <v>9315</v>
      </c>
      <c r="AF14" s="68">
        <f>F14*(1+Inputs!$C$17)*G14/12*(1+Inputs!$C$16)</f>
        <v>9315</v>
      </c>
      <c r="AG14" s="68">
        <f>F14*(1+Inputs!$C$17)*G14/12*(1+Inputs!$C$16)</f>
        <v>9315</v>
      </c>
    </row>
    <row r="16" spans="2:39" ht="24" customHeight="1" x14ac:dyDescent="0.3">
      <c r="B16" s="98" t="s">
        <v>83</v>
      </c>
      <c r="C16" s="98"/>
      <c r="D16" s="98"/>
      <c r="E16" s="98"/>
      <c r="F16" s="98"/>
      <c r="G16" s="98"/>
      <c r="H16" s="98"/>
      <c r="I16" s="98"/>
      <c r="J16" s="69">
        <f t="shared" ref="J16:AG16" si="1">SUM(J5,J6,J7)</f>
        <v>24916.666666666664</v>
      </c>
      <c r="K16" s="69">
        <f t="shared" si="1"/>
        <v>24916.666666666664</v>
      </c>
      <c r="L16" s="69">
        <f t="shared" si="1"/>
        <v>24916.666666666664</v>
      </c>
      <c r="M16" s="69">
        <f t="shared" si="1"/>
        <v>29708.333333333332</v>
      </c>
      <c r="N16" s="69">
        <f t="shared" si="1"/>
        <v>29708.333333333332</v>
      </c>
      <c r="O16" s="69">
        <f t="shared" si="1"/>
        <v>29708.333333333332</v>
      </c>
      <c r="P16" s="69">
        <f t="shared" si="1"/>
        <v>29708.333333333332</v>
      </c>
      <c r="Q16" s="69">
        <f t="shared" si="1"/>
        <v>29708.333333333332</v>
      </c>
      <c r="R16" s="69">
        <f t="shared" si="1"/>
        <v>29708.333333333332</v>
      </c>
      <c r="S16" s="69">
        <f t="shared" si="1"/>
        <v>29708.333333333332</v>
      </c>
      <c r="T16" s="69">
        <f t="shared" si="1"/>
        <v>29708.333333333332</v>
      </c>
      <c r="U16" s="69">
        <f t="shared" si="1"/>
        <v>29708.333333333332</v>
      </c>
      <c r="V16" s="69">
        <f t="shared" si="1"/>
        <v>32085</v>
      </c>
      <c r="W16" s="69">
        <f t="shared" si="1"/>
        <v>32085</v>
      </c>
      <c r="X16" s="69">
        <f t="shared" si="1"/>
        <v>32085</v>
      </c>
      <c r="Y16" s="69">
        <f t="shared" si="1"/>
        <v>32085</v>
      </c>
      <c r="Z16" s="69">
        <f t="shared" si="1"/>
        <v>32085</v>
      </c>
      <c r="AA16" s="69">
        <f t="shared" si="1"/>
        <v>32085</v>
      </c>
      <c r="AB16" s="69">
        <f t="shared" si="1"/>
        <v>32085</v>
      </c>
      <c r="AC16" s="69">
        <f t="shared" si="1"/>
        <v>32085</v>
      </c>
      <c r="AD16" s="69">
        <f t="shared" si="1"/>
        <v>32085</v>
      </c>
      <c r="AE16" s="69">
        <f t="shared" si="1"/>
        <v>32085</v>
      </c>
      <c r="AF16" s="69">
        <f t="shared" si="1"/>
        <v>32085</v>
      </c>
      <c r="AG16" s="69">
        <f t="shared" si="1"/>
        <v>32085</v>
      </c>
    </row>
    <row r="17" spans="2:33" ht="24" customHeight="1" x14ac:dyDescent="0.3">
      <c r="B17" s="98" t="s">
        <v>84</v>
      </c>
      <c r="C17" s="98"/>
      <c r="D17" s="98"/>
      <c r="E17" s="98"/>
      <c r="F17" s="98"/>
      <c r="G17" s="98"/>
      <c r="H17" s="98"/>
      <c r="I17" s="98"/>
      <c r="J17" s="69">
        <f t="shared" ref="J17:AG17" si="2">SUM(J8,J9)</f>
        <v>9583.3333333333339</v>
      </c>
      <c r="K17" s="69">
        <f t="shared" si="2"/>
        <v>9583.3333333333339</v>
      </c>
      <c r="L17" s="69">
        <f t="shared" si="2"/>
        <v>9583.3333333333339</v>
      </c>
      <c r="M17" s="69">
        <f t="shared" si="2"/>
        <v>9583.3333333333339</v>
      </c>
      <c r="N17" s="69">
        <f t="shared" si="2"/>
        <v>9583.3333333333339</v>
      </c>
      <c r="O17" s="69">
        <f t="shared" si="2"/>
        <v>18208.333333333336</v>
      </c>
      <c r="P17" s="69">
        <f t="shared" si="2"/>
        <v>18208.333333333336</v>
      </c>
      <c r="Q17" s="69">
        <f t="shared" si="2"/>
        <v>18208.333333333336</v>
      </c>
      <c r="R17" s="69">
        <f t="shared" si="2"/>
        <v>18208.333333333336</v>
      </c>
      <c r="S17" s="69">
        <f t="shared" si="2"/>
        <v>18208.333333333336</v>
      </c>
      <c r="T17" s="69">
        <f t="shared" si="2"/>
        <v>18208.333333333336</v>
      </c>
      <c r="U17" s="69">
        <f t="shared" si="2"/>
        <v>18208.333333333336</v>
      </c>
      <c r="V17" s="69">
        <f t="shared" si="2"/>
        <v>19665</v>
      </c>
      <c r="W17" s="69">
        <f t="shared" si="2"/>
        <v>19665</v>
      </c>
      <c r="X17" s="69">
        <f t="shared" si="2"/>
        <v>19665</v>
      </c>
      <c r="Y17" s="69">
        <f t="shared" si="2"/>
        <v>19665</v>
      </c>
      <c r="Z17" s="69">
        <f t="shared" si="2"/>
        <v>19665</v>
      </c>
      <c r="AA17" s="69">
        <f t="shared" si="2"/>
        <v>19665</v>
      </c>
      <c r="AB17" s="69">
        <f t="shared" si="2"/>
        <v>19665</v>
      </c>
      <c r="AC17" s="69">
        <f t="shared" si="2"/>
        <v>19665</v>
      </c>
      <c r="AD17" s="69">
        <f t="shared" si="2"/>
        <v>19665</v>
      </c>
      <c r="AE17" s="69">
        <f t="shared" si="2"/>
        <v>19665</v>
      </c>
      <c r="AF17" s="69">
        <f t="shared" si="2"/>
        <v>19665</v>
      </c>
      <c r="AG17" s="69">
        <f t="shared" si="2"/>
        <v>19665</v>
      </c>
    </row>
    <row r="18" spans="2:33" ht="24" customHeight="1" x14ac:dyDescent="0.3">
      <c r="B18" s="98" t="s">
        <v>85</v>
      </c>
      <c r="C18" s="98"/>
      <c r="D18" s="98"/>
      <c r="E18" s="98"/>
      <c r="F18" s="98"/>
      <c r="G18" s="98"/>
      <c r="H18" s="98"/>
      <c r="I18" s="98"/>
      <c r="J18" s="69">
        <f t="shared" ref="J18:AG18" si="3">SUM(J10,J11)</f>
        <v>10541.666666666666</v>
      </c>
      <c r="K18" s="69">
        <f t="shared" si="3"/>
        <v>10541.666666666666</v>
      </c>
      <c r="L18" s="69">
        <f t="shared" si="3"/>
        <v>24916.666666666664</v>
      </c>
      <c r="M18" s="69">
        <f t="shared" si="3"/>
        <v>24916.666666666664</v>
      </c>
      <c r="N18" s="69">
        <f t="shared" si="3"/>
        <v>24916.666666666664</v>
      </c>
      <c r="O18" s="69">
        <f t="shared" si="3"/>
        <v>24916.666666666664</v>
      </c>
      <c r="P18" s="69">
        <f t="shared" si="3"/>
        <v>24916.666666666664</v>
      </c>
      <c r="Q18" s="69">
        <f t="shared" si="3"/>
        <v>24916.666666666664</v>
      </c>
      <c r="R18" s="69">
        <f t="shared" si="3"/>
        <v>24916.666666666664</v>
      </c>
      <c r="S18" s="69">
        <f t="shared" si="3"/>
        <v>24916.666666666664</v>
      </c>
      <c r="T18" s="69">
        <f t="shared" si="3"/>
        <v>24916.666666666664</v>
      </c>
      <c r="U18" s="69">
        <f t="shared" si="3"/>
        <v>24916.666666666664</v>
      </c>
      <c r="V18" s="69">
        <f t="shared" si="3"/>
        <v>26910</v>
      </c>
      <c r="W18" s="69">
        <f t="shared" si="3"/>
        <v>26910</v>
      </c>
      <c r="X18" s="69">
        <f t="shared" si="3"/>
        <v>26910</v>
      </c>
      <c r="Y18" s="69">
        <f t="shared" si="3"/>
        <v>26910</v>
      </c>
      <c r="Z18" s="69">
        <f t="shared" si="3"/>
        <v>26910</v>
      </c>
      <c r="AA18" s="69">
        <f t="shared" si="3"/>
        <v>26910</v>
      </c>
      <c r="AB18" s="69">
        <f t="shared" si="3"/>
        <v>26910</v>
      </c>
      <c r="AC18" s="69">
        <f t="shared" si="3"/>
        <v>26910</v>
      </c>
      <c r="AD18" s="69">
        <f t="shared" si="3"/>
        <v>26910</v>
      </c>
      <c r="AE18" s="69">
        <f t="shared" si="3"/>
        <v>26910</v>
      </c>
      <c r="AF18" s="69">
        <f t="shared" si="3"/>
        <v>26910</v>
      </c>
      <c r="AG18" s="69">
        <f t="shared" si="3"/>
        <v>26910</v>
      </c>
    </row>
    <row r="19" spans="2:33" ht="24" customHeight="1" x14ac:dyDescent="0.3">
      <c r="B19" s="98" t="s">
        <v>86</v>
      </c>
      <c r="C19" s="98"/>
      <c r="D19" s="98"/>
      <c r="E19" s="98"/>
      <c r="F19" s="98"/>
      <c r="G19" s="98"/>
      <c r="H19" s="98"/>
      <c r="I19" s="98"/>
      <c r="J19" s="69">
        <f t="shared" ref="J19:AG19" si="4">SUM(J12)</f>
        <v>0</v>
      </c>
      <c r="K19" s="69">
        <f t="shared" si="4"/>
        <v>8625</v>
      </c>
      <c r="L19" s="69">
        <f t="shared" si="4"/>
        <v>8625</v>
      </c>
      <c r="M19" s="69">
        <f t="shared" si="4"/>
        <v>8625</v>
      </c>
      <c r="N19" s="69">
        <f t="shared" si="4"/>
        <v>8625</v>
      </c>
      <c r="O19" s="69">
        <f t="shared" si="4"/>
        <v>8625</v>
      </c>
      <c r="P19" s="69">
        <f t="shared" si="4"/>
        <v>8625</v>
      </c>
      <c r="Q19" s="69">
        <f t="shared" si="4"/>
        <v>8625</v>
      </c>
      <c r="R19" s="69">
        <f t="shared" si="4"/>
        <v>8625</v>
      </c>
      <c r="S19" s="69">
        <f t="shared" si="4"/>
        <v>8625</v>
      </c>
      <c r="T19" s="69">
        <f t="shared" si="4"/>
        <v>8625</v>
      </c>
      <c r="U19" s="69">
        <f t="shared" si="4"/>
        <v>8625</v>
      </c>
      <c r="V19" s="69">
        <f t="shared" si="4"/>
        <v>9315</v>
      </c>
      <c r="W19" s="69">
        <f t="shared" si="4"/>
        <v>9315</v>
      </c>
      <c r="X19" s="69">
        <f t="shared" si="4"/>
        <v>9315</v>
      </c>
      <c r="Y19" s="69">
        <f t="shared" si="4"/>
        <v>9315</v>
      </c>
      <c r="Z19" s="69">
        <f t="shared" si="4"/>
        <v>9315</v>
      </c>
      <c r="AA19" s="69">
        <f t="shared" si="4"/>
        <v>9315</v>
      </c>
      <c r="AB19" s="69">
        <f t="shared" si="4"/>
        <v>9315</v>
      </c>
      <c r="AC19" s="69">
        <f t="shared" si="4"/>
        <v>9315</v>
      </c>
      <c r="AD19" s="69">
        <f t="shared" si="4"/>
        <v>9315</v>
      </c>
      <c r="AE19" s="69">
        <f t="shared" si="4"/>
        <v>9315</v>
      </c>
      <c r="AF19" s="69">
        <f t="shared" si="4"/>
        <v>9315</v>
      </c>
      <c r="AG19" s="69">
        <f t="shared" si="4"/>
        <v>9315</v>
      </c>
    </row>
    <row r="20" spans="2:33" ht="24" customHeight="1" x14ac:dyDescent="0.3">
      <c r="B20" s="98" t="s">
        <v>87</v>
      </c>
      <c r="C20" s="98"/>
      <c r="D20" s="98"/>
      <c r="E20" s="98"/>
      <c r="F20" s="98"/>
      <c r="G20" s="98"/>
      <c r="H20" s="98"/>
      <c r="I20" s="98"/>
      <c r="J20" s="69">
        <f t="shared" ref="J20:AG20" si="5">SUM(J13,J14)</f>
        <v>14374.999999999998</v>
      </c>
      <c r="K20" s="69">
        <f t="shared" si="5"/>
        <v>14374.999999999998</v>
      </c>
      <c r="L20" s="69">
        <f t="shared" si="5"/>
        <v>14374.999999999998</v>
      </c>
      <c r="M20" s="69">
        <f t="shared" si="5"/>
        <v>14374.999999999998</v>
      </c>
      <c r="N20" s="69">
        <f t="shared" si="5"/>
        <v>14374.999999999998</v>
      </c>
      <c r="O20" s="69">
        <f t="shared" si="5"/>
        <v>14374.999999999998</v>
      </c>
      <c r="P20" s="69">
        <f t="shared" si="5"/>
        <v>23000</v>
      </c>
      <c r="Q20" s="69">
        <f t="shared" si="5"/>
        <v>23000</v>
      </c>
      <c r="R20" s="69">
        <f t="shared" si="5"/>
        <v>23000</v>
      </c>
      <c r="S20" s="69">
        <f t="shared" si="5"/>
        <v>23000</v>
      </c>
      <c r="T20" s="69">
        <f t="shared" si="5"/>
        <v>23000</v>
      </c>
      <c r="U20" s="69">
        <f t="shared" si="5"/>
        <v>23000</v>
      </c>
      <c r="V20" s="69">
        <f t="shared" si="5"/>
        <v>24840</v>
      </c>
      <c r="W20" s="69">
        <f t="shared" si="5"/>
        <v>24840</v>
      </c>
      <c r="X20" s="69">
        <f t="shared" si="5"/>
        <v>24840</v>
      </c>
      <c r="Y20" s="69">
        <f t="shared" si="5"/>
        <v>24840</v>
      </c>
      <c r="Z20" s="69">
        <f t="shared" si="5"/>
        <v>24840</v>
      </c>
      <c r="AA20" s="69">
        <f t="shared" si="5"/>
        <v>24840</v>
      </c>
      <c r="AB20" s="69">
        <f t="shared" si="5"/>
        <v>24840</v>
      </c>
      <c r="AC20" s="69">
        <f t="shared" si="5"/>
        <v>24840</v>
      </c>
      <c r="AD20" s="69">
        <f t="shared" si="5"/>
        <v>24840</v>
      </c>
      <c r="AE20" s="69">
        <f t="shared" si="5"/>
        <v>24840</v>
      </c>
      <c r="AF20" s="69">
        <f t="shared" si="5"/>
        <v>24840</v>
      </c>
      <c r="AG20" s="69">
        <f t="shared" si="5"/>
        <v>24840</v>
      </c>
    </row>
    <row r="22" spans="2:33" ht="24" customHeight="1" x14ac:dyDescent="0.3">
      <c r="B22" s="97" t="s">
        <v>148</v>
      </c>
      <c r="C22" s="97"/>
      <c r="D22" s="97"/>
      <c r="E22" s="97"/>
      <c r="F22" s="97"/>
      <c r="G22" s="97"/>
      <c r="H22" s="97"/>
      <c r="I22" s="97"/>
      <c r="J22" s="70">
        <f t="shared" ref="J22:AG22" si="6">SUM(J16,J17,J18,J19,J20)</f>
        <v>59416.666666666664</v>
      </c>
      <c r="K22" s="70">
        <f t="shared" si="6"/>
        <v>68041.666666666657</v>
      </c>
      <c r="L22" s="70">
        <f t="shared" si="6"/>
        <v>82416.666666666657</v>
      </c>
      <c r="M22" s="70">
        <f t="shared" si="6"/>
        <v>87208.333333333328</v>
      </c>
      <c r="N22" s="70">
        <f t="shared" si="6"/>
        <v>87208.333333333328</v>
      </c>
      <c r="O22" s="70">
        <f t="shared" si="6"/>
        <v>95833.333333333343</v>
      </c>
      <c r="P22" s="70">
        <f t="shared" si="6"/>
        <v>104458.33333333334</v>
      </c>
      <c r="Q22" s="70">
        <f t="shared" si="6"/>
        <v>104458.33333333334</v>
      </c>
      <c r="R22" s="70">
        <f t="shared" si="6"/>
        <v>104458.33333333334</v>
      </c>
      <c r="S22" s="70">
        <f t="shared" si="6"/>
        <v>104458.33333333334</v>
      </c>
      <c r="T22" s="70">
        <f t="shared" si="6"/>
        <v>104458.33333333334</v>
      </c>
      <c r="U22" s="70">
        <f t="shared" si="6"/>
        <v>104458.33333333334</v>
      </c>
      <c r="V22" s="70">
        <f t="shared" si="6"/>
        <v>112815</v>
      </c>
      <c r="W22" s="70">
        <f t="shared" si="6"/>
        <v>112815</v>
      </c>
      <c r="X22" s="70">
        <f t="shared" si="6"/>
        <v>112815</v>
      </c>
      <c r="Y22" s="70">
        <f t="shared" si="6"/>
        <v>112815</v>
      </c>
      <c r="Z22" s="70">
        <f t="shared" si="6"/>
        <v>112815</v>
      </c>
      <c r="AA22" s="70">
        <f t="shared" si="6"/>
        <v>112815</v>
      </c>
      <c r="AB22" s="70">
        <f t="shared" si="6"/>
        <v>112815</v>
      </c>
      <c r="AC22" s="70">
        <f t="shared" si="6"/>
        <v>112815</v>
      </c>
      <c r="AD22" s="70">
        <f t="shared" si="6"/>
        <v>112815</v>
      </c>
      <c r="AE22" s="70">
        <f t="shared" si="6"/>
        <v>112815</v>
      </c>
      <c r="AF22" s="70">
        <f t="shared" si="6"/>
        <v>112815</v>
      </c>
      <c r="AG22" s="70">
        <f t="shared" si="6"/>
        <v>112815</v>
      </c>
    </row>
  </sheetData>
  <mergeCells count="8">
    <mergeCell ref="B19:I19"/>
    <mergeCell ref="B20:I20"/>
    <mergeCell ref="B22:I22"/>
    <mergeCell ref="B1:I1"/>
    <mergeCell ref="B2:AM2"/>
    <mergeCell ref="B16:I16"/>
    <mergeCell ref="B17:I17"/>
    <mergeCell ref="B18:I1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M23"/>
  <sheetViews>
    <sheetView showGridLines="0" zoomScale="85" zoomScaleNormal="85" workbookViewId="0">
      <selection activeCell="AD12" sqref="AD12"/>
    </sheetView>
  </sheetViews>
  <sheetFormatPr defaultColWidth="8.6640625" defaultRowHeight="14.4" x14ac:dyDescent="0.3"/>
  <cols>
    <col min="1" max="1" width="3" customWidth="1"/>
    <col min="2" max="2" width="18" customWidth="1"/>
    <col min="3" max="3" width="26" customWidth="1"/>
    <col min="4" max="4" width="15" customWidth="1"/>
    <col min="5" max="5" width="12" customWidth="1"/>
    <col min="6" max="29" width="11" customWidth="1"/>
  </cols>
  <sheetData>
    <row r="1" spans="2:39" ht="27.75" customHeight="1" x14ac:dyDescent="0.3">
      <c r="B1" s="99" t="s">
        <v>88</v>
      </c>
      <c r="C1" s="99"/>
      <c r="D1" s="99"/>
      <c r="E1" s="99"/>
    </row>
    <row r="2" spans="2:39" ht="13.5" customHeight="1" x14ac:dyDescent="0.3"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</row>
    <row r="3" spans="2:39" ht="36" customHeight="1" x14ac:dyDescent="0.3">
      <c r="B3" s="8" t="s">
        <v>89</v>
      </c>
      <c r="C3" s="8" t="s">
        <v>90</v>
      </c>
      <c r="D3" s="8" t="s">
        <v>91</v>
      </c>
      <c r="E3" s="8" t="s">
        <v>92</v>
      </c>
      <c r="F3" s="9" t="s">
        <v>18</v>
      </c>
      <c r="G3" s="9" t="s">
        <v>44</v>
      </c>
      <c r="H3" s="9" t="s">
        <v>45</v>
      </c>
      <c r="I3" s="9" t="s">
        <v>46</v>
      </c>
      <c r="J3" s="9" t="s">
        <v>47</v>
      </c>
      <c r="K3" s="9" t="s">
        <v>48</v>
      </c>
      <c r="L3" s="9" t="s">
        <v>49</v>
      </c>
      <c r="M3" s="9" t="s">
        <v>50</v>
      </c>
      <c r="N3" s="9" t="s">
        <v>51</v>
      </c>
      <c r="O3" s="9" t="s">
        <v>52</v>
      </c>
      <c r="P3" s="9" t="s">
        <v>53</v>
      </c>
      <c r="Q3" s="9" t="s">
        <v>54</v>
      </c>
      <c r="R3" s="9" t="s">
        <v>55</v>
      </c>
      <c r="S3" s="9" t="s">
        <v>56</v>
      </c>
      <c r="T3" s="9" t="s">
        <v>57</v>
      </c>
      <c r="U3" s="9" t="s">
        <v>58</v>
      </c>
      <c r="V3" s="9" t="s">
        <v>59</v>
      </c>
      <c r="W3" s="9" t="s">
        <v>60</v>
      </c>
      <c r="X3" s="9" t="s">
        <v>61</v>
      </c>
      <c r="Y3" s="9" t="s">
        <v>62</v>
      </c>
      <c r="Z3" s="9" t="s">
        <v>63</v>
      </c>
      <c r="AA3" s="9" t="s">
        <v>64</v>
      </c>
      <c r="AB3" s="9" t="s">
        <v>65</v>
      </c>
      <c r="AC3" s="9" t="s">
        <v>66</v>
      </c>
    </row>
    <row r="5" spans="2:39" ht="19.5" customHeight="1" x14ac:dyDescent="0.3">
      <c r="B5" s="10" t="s">
        <v>93</v>
      </c>
      <c r="C5" s="10" t="s">
        <v>94</v>
      </c>
      <c r="D5" s="71">
        <v>8000</v>
      </c>
      <c r="E5" s="30">
        <v>0.03</v>
      </c>
      <c r="F5" s="64">
        <f t="shared" ref="F5:F14" si="0">D5</f>
        <v>8000</v>
      </c>
      <c r="G5" s="64">
        <f t="shared" ref="G5:AC5" si="1">F5*(1+$E$5)</f>
        <v>8240</v>
      </c>
      <c r="H5" s="64">
        <f t="shared" si="1"/>
        <v>8487.2000000000007</v>
      </c>
      <c r="I5" s="64">
        <f t="shared" si="1"/>
        <v>8741.8160000000007</v>
      </c>
      <c r="J5" s="64">
        <f t="shared" si="1"/>
        <v>9004.0704800000003</v>
      </c>
      <c r="K5" s="64">
        <f t="shared" si="1"/>
        <v>9274.1925944000013</v>
      </c>
      <c r="L5" s="64">
        <f t="shared" si="1"/>
        <v>9552.4183722320013</v>
      </c>
      <c r="M5" s="64">
        <f t="shared" si="1"/>
        <v>9838.990923398962</v>
      </c>
      <c r="N5" s="64">
        <f t="shared" si="1"/>
        <v>10134.16065110093</v>
      </c>
      <c r="O5" s="64">
        <f t="shared" si="1"/>
        <v>10438.185470633958</v>
      </c>
      <c r="P5" s="64">
        <f t="shared" si="1"/>
        <v>10751.331034752977</v>
      </c>
      <c r="Q5" s="64">
        <f t="shared" si="1"/>
        <v>11073.870965795566</v>
      </c>
      <c r="R5" s="64">
        <f t="shared" si="1"/>
        <v>11406.087094769433</v>
      </c>
      <c r="S5" s="64">
        <f t="shared" si="1"/>
        <v>11748.269707612517</v>
      </c>
      <c r="T5" s="64">
        <f t="shared" si="1"/>
        <v>12100.717798840893</v>
      </c>
      <c r="U5" s="64">
        <f t="shared" si="1"/>
        <v>12463.739332806121</v>
      </c>
      <c r="V5" s="64">
        <f t="shared" si="1"/>
        <v>12837.651512790304</v>
      </c>
      <c r="W5" s="64">
        <f t="shared" si="1"/>
        <v>13222.781058174014</v>
      </c>
      <c r="X5" s="64">
        <f t="shared" si="1"/>
        <v>13619.464489919235</v>
      </c>
      <c r="Y5" s="64">
        <f t="shared" si="1"/>
        <v>14028.048424616813</v>
      </c>
      <c r="Z5" s="64">
        <f t="shared" si="1"/>
        <v>14448.889877355317</v>
      </c>
      <c r="AA5" s="64">
        <f t="shared" si="1"/>
        <v>14882.356573675977</v>
      </c>
      <c r="AB5" s="64">
        <f t="shared" si="1"/>
        <v>15328.827270886257</v>
      </c>
      <c r="AC5" s="64">
        <f t="shared" si="1"/>
        <v>15788.692089012846</v>
      </c>
    </row>
    <row r="6" spans="2:39" ht="19.5" customHeight="1" x14ac:dyDescent="0.3">
      <c r="B6" s="10" t="s">
        <v>93</v>
      </c>
      <c r="C6" s="10" t="s">
        <v>95</v>
      </c>
      <c r="D6" s="71">
        <v>3500</v>
      </c>
      <c r="E6" s="30">
        <v>0.02</v>
      </c>
      <c r="F6" s="64">
        <f t="shared" si="0"/>
        <v>3500</v>
      </c>
      <c r="G6" s="64">
        <f t="shared" ref="G6:AC6" si="2">F6*(1+$E$6)</f>
        <v>3570</v>
      </c>
      <c r="H6" s="64">
        <f t="shared" si="2"/>
        <v>3641.4</v>
      </c>
      <c r="I6" s="64">
        <f t="shared" si="2"/>
        <v>3714.2280000000001</v>
      </c>
      <c r="J6" s="64">
        <f t="shared" si="2"/>
        <v>3788.5125600000001</v>
      </c>
      <c r="K6" s="64">
        <f t="shared" si="2"/>
        <v>3864.2828112000002</v>
      </c>
      <c r="L6" s="64">
        <f t="shared" si="2"/>
        <v>3941.5684674240001</v>
      </c>
      <c r="M6" s="64">
        <f t="shared" si="2"/>
        <v>4020.3998367724803</v>
      </c>
      <c r="N6" s="64">
        <f t="shared" si="2"/>
        <v>4100.8078335079299</v>
      </c>
      <c r="O6" s="64">
        <f t="shared" si="2"/>
        <v>4182.8239901780889</v>
      </c>
      <c r="P6" s="64">
        <f t="shared" si="2"/>
        <v>4266.4804699816505</v>
      </c>
      <c r="Q6" s="64">
        <f t="shared" si="2"/>
        <v>4351.8100793812837</v>
      </c>
      <c r="R6" s="64">
        <f t="shared" si="2"/>
        <v>4438.846280968909</v>
      </c>
      <c r="S6" s="64">
        <f t="shared" si="2"/>
        <v>4527.6232065882868</v>
      </c>
      <c r="T6" s="64">
        <f t="shared" si="2"/>
        <v>4618.1756707200529</v>
      </c>
      <c r="U6" s="64">
        <f t="shared" si="2"/>
        <v>4710.5391841344544</v>
      </c>
      <c r="V6" s="64">
        <f t="shared" si="2"/>
        <v>4804.7499678171434</v>
      </c>
      <c r="W6" s="64">
        <f t="shared" si="2"/>
        <v>4900.8449671734861</v>
      </c>
      <c r="X6" s="64">
        <f t="shared" si="2"/>
        <v>4998.8618665169561</v>
      </c>
      <c r="Y6" s="64">
        <f t="shared" si="2"/>
        <v>5098.8391038472955</v>
      </c>
      <c r="Z6" s="64">
        <f t="shared" si="2"/>
        <v>5200.8158859242412</v>
      </c>
      <c r="AA6" s="64">
        <f t="shared" si="2"/>
        <v>5304.8322036427262</v>
      </c>
      <c r="AB6" s="64">
        <f t="shared" si="2"/>
        <v>5410.9288477155806</v>
      </c>
      <c r="AC6" s="64">
        <f t="shared" si="2"/>
        <v>5519.1474246698926</v>
      </c>
    </row>
    <row r="7" spans="2:39" ht="19.5" customHeight="1" x14ac:dyDescent="0.3">
      <c r="B7" s="14" t="s">
        <v>78</v>
      </c>
      <c r="C7" s="14" t="s">
        <v>96</v>
      </c>
      <c r="D7" s="72">
        <v>7000</v>
      </c>
      <c r="E7" s="31">
        <v>0.05</v>
      </c>
      <c r="F7" s="65">
        <f t="shared" si="0"/>
        <v>7000</v>
      </c>
      <c r="G7" s="65">
        <f t="shared" ref="G7:AC7" si="3">F7*(1+$E$7)</f>
        <v>7350</v>
      </c>
      <c r="H7" s="65">
        <f t="shared" si="3"/>
        <v>7717.5</v>
      </c>
      <c r="I7" s="65">
        <f t="shared" si="3"/>
        <v>8103.375</v>
      </c>
      <c r="J7" s="65">
        <f t="shared" si="3"/>
        <v>8508.5437500000007</v>
      </c>
      <c r="K7" s="65">
        <f t="shared" si="3"/>
        <v>8933.970937500002</v>
      </c>
      <c r="L7" s="65">
        <f t="shared" si="3"/>
        <v>9380.6694843750029</v>
      </c>
      <c r="M7" s="65">
        <f t="shared" si="3"/>
        <v>9849.7029585937526</v>
      </c>
      <c r="N7" s="65">
        <f t="shared" si="3"/>
        <v>10342.188106523441</v>
      </c>
      <c r="O7" s="65">
        <f t="shared" si="3"/>
        <v>10859.297511849614</v>
      </c>
      <c r="P7" s="65">
        <f t="shared" si="3"/>
        <v>11402.262387442095</v>
      </c>
      <c r="Q7" s="65">
        <f t="shared" si="3"/>
        <v>11972.3755068142</v>
      </c>
      <c r="R7" s="65">
        <f t="shared" si="3"/>
        <v>12570.99428215491</v>
      </c>
      <c r="S7" s="65">
        <f t="shared" si="3"/>
        <v>13199.543996262657</v>
      </c>
      <c r="T7" s="65">
        <f t="shared" si="3"/>
        <v>13859.52119607579</v>
      </c>
      <c r="U7" s="65">
        <f t="shared" si="3"/>
        <v>14552.49725587958</v>
      </c>
      <c r="V7" s="65">
        <f t="shared" si="3"/>
        <v>15280.12211867356</v>
      </c>
      <c r="W7" s="65">
        <f t="shared" si="3"/>
        <v>16044.128224607239</v>
      </c>
      <c r="X7" s="65">
        <f t="shared" si="3"/>
        <v>16846.3346358376</v>
      </c>
      <c r="Y7" s="65">
        <f t="shared" si="3"/>
        <v>17688.651367629482</v>
      </c>
      <c r="Z7" s="65">
        <f t="shared" si="3"/>
        <v>18573.083936010957</v>
      </c>
      <c r="AA7" s="65">
        <f t="shared" si="3"/>
        <v>19501.738132811504</v>
      </c>
      <c r="AB7" s="65">
        <f t="shared" si="3"/>
        <v>20476.82503945208</v>
      </c>
      <c r="AC7" s="65">
        <f t="shared" si="3"/>
        <v>21500.666291424684</v>
      </c>
    </row>
    <row r="8" spans="2:39" ht="19.5" customHeight="1" x14ac:dyDescent="0.3">
      <c r="B8" s="14" t="s">
        <v>78</v>
      </c>
      <c r="C8" s="14" t="s">
        <v>97</v>
      </c>
      <c r="D8" s="72">
        <v>1500</v>
      </c>
      <c r="E8" s="31">
        <v>0.01</v>
      </c>
      <c r="F8" s="65">
        <f t="shared" si="0"/>
        <v>1500</v>
      </c>
      <c r="G8" s="65">
        <f t="shared" ref="G8:AC8" si="4">F8*(1+$E$8)</f>
        <v>1515</v>
      </c>
      <c r="H8" s="65">
        <f t="shared" si="4"/>
        <v>1530.15</v>
      </c>
      <c r="I8" s="65">
        <f t="shared" si="4"/>
        <v>1545.4515000000001</v>
      </c>
      <c r="J8" s="65">
        <f t="shared" si="4"/>
        <v>1560.9060150000003</v>
      </c>
      <c r="K8" s="65">
        <f t="shared" si="4"/>
        <v>1576.5150751500003</v>
      </c>
      <c r="L8" s="65">
        <f t="shared" si="4"/>
        <v>1592.2802259015002</v>
      </c>
      <c r="M8" s="65">
        <f t="shared" si="4"/>
        <v>1608.2030281605153</v>
      </c>
      <c r="N8" s="65">
        <f t="shared" si="4"/>
        <v>1624.2850584421203</v>
      </c>
      <c r="O8" s="65">
        <f t="shared" si="4"/>
        <v>1640.5279090265415</v>
      </c>
      <c r="P8" s="65">
        <f t="shared" si="4"/>
        <v>1656.9331881168068</v>
      </c>
      <c r="Q8" s="65">
        <f t="shared" si="4"/>
        <v>1673.502519997975</v>
      </c>
      <c r="R8" s="65">
        <f t="shared" si="4"/>
        <v>1690.2375451979549</v>
      </c>
      <c r="S8" s="65">
        <f t="shared" si="4"/>
        <v>1707.1399206499345</v>
      </c>
      <c r="T8" s="65">
        <f t="shared" si="4"/>
        <v>1724.2113198564339</v>
      </c>
      <c r="U8" s="65">
        <f t="shared" si="4"/>
        <v>1741.4534330549982</v>
      </c>
      <c r="V8" s="65">
        <f t="shared" si="4"/>
        <v>1758.8679673855481</v>
      </c>
      <c r="W8" s="65">
        <f t="shared" si="4"/>
        <v>1776.4566470594036</v>
      </c>
      <c r="X8" s="65">
        <f t="shared" si="4"/>
        <v>1794.2212135299976</v>
      </c>
      <c r="Y8" s="65">
        <f t="shared" si="4"/>
        <v>1812.1634256652976</v>
      </c>
      <c r="Z8" s="65">
        <f t="shared" si="4"/>
        <v>1830.2850599219505</v>
      </c>
      <c r="AA8" s="65">
        <f t="shared" si="4"/>
        <v>1848.58791052117</v>
      </c>
      <c r="AB8" s="65">
        <f t="shared" si="4"/>
        <v>1867.0737896263818</v>
      </c>
      <c r="AC8" s="65">
        <f t="shared" si="4"/>
        <v>1885.7445275226455</v>
      </c>
    </row>
    <row r="9" spans="2:39" ht="19.5" customHeight="1" x14ac:dyDescent="0.3">
      <c r="B9" s="18" t="s">
        <v>98</v>
      </c>
      <c r="C9" s="18" t="s">
        <v>99</v>
      </c>
      <c r="D9" s="73">
        <v>5000</v>
      </c>
      <c r="E9" s="32">
        <v>0</v>
      </c>
      <c r="F9" s="66">
        <f t="shared" si="0"/>
        <v>5000</v>
      </c>
      <c r="G9" s="66">
        <f t="shared" ref="G9:AC9" si="5">F9*(1+$E$9)</f>
        <v>5000</v>
      </c>
      <c r="H9" s="66">
        <f t="shared" si="5"/>
        <v>5000</v>
      </c>
      <c r="I9" s="66">
        <f t="shared" si="5"/>
        <v>5000</v>
      </c>
      <c r="J9" s="66">
        <f t="shared" si="5"/>
        <v>5000</v>
      </c>
      <c r="K9" s="66">
        <f t="shared" si="5"/>
        <v>5000</v>
      </c>
      <c r="L9" s="66">
        <f t="shared" si="5"/>
        <v>5000</v>
      </c>
      <c r="M9" s="66">
        <f t="shared" si="5"/>
        <v>5000</v>
      </c>
      <c r="N9" s="66">
        <f t="shared" si="5"/>
        <v>5000</v>
      </c>
      <c r="O9" s="66">
        <f t="shared" si="5"/>
        <v>5000</v>
      </c>
      <c r="P9" s="66">
        <f t="shared" si="5"/>
        <v>5000</v>
      </c>
      <c r="Q9" s="66">
        <f t="shared" si="5"/>
        <v>5000</v>
      </c>
      <c r="R9" s="66">
        <f t="shared" si="5"/>
        <v>5000</v>
      </c>
      <c r="S9" s="66">
        <f t="shared" si="5"/>
        <v>5000</v>
      </c>
      <c r="T9" s="66">
        <f t="shared" si="5"/>
        <v>5000</v>
      </c>
      <c r="U9" s="66">
        <f t="shared" si="5"/>
        <v>5000</v>
      </c>
      <c r="V9" s="66">
        <f t="shared" si="5"/>
        <v>5000</v>
      </c>
      <c r="W9" s="66">
        <f t="shared" si="5"/>
        <v>5000</v>
      </c>
      <c r="X9" s="66">
        <f t="shared" si="5"/>
        <v>5000</v>
      </c>
      <c r="Y9" s="66">
        <f t="shared" si="5"/>
        <v>5000</v>
      </c>
      <c r="Z9" s="66">
        <f t="shared" si="5"/>
        <v>5000</v>
      </c>
      <c r="AA9" s="66">
        <f t="shared" si="5"/>
        <v>5000</v>
      </c>
      <c r="AB9" s="66">
        <f t="shared" si="5"/>
        <v>5000</v>
      </c>
      <c r="AC9" s="66">
        <f t="shared" si="5"/>
        <v>5000</v>
      </c>
    </row>
    <row r="10" spans="2:39" ht="19.5" customHeight="1" x14ac:dyDescent="0.3">
      <c r="B10" s="18" t="s">
        <v>98</v>
      </c>
      <c r="C10" s="18" t="s">
        <v>100</v>
      </c>
      <c r="D10" s="73">
        <v>800</v>
      </c>
      <c r="E10" s="32">
        <v>0.01</v>
      </c>
      <c r="F10" s="66">
        <f t="shared" si="0"/>
        <v>800</v>
      </c>
      <c r="G10" s="66">
        <f t="shared" ref="G10:AC10" si="6">F10*(1+$E$10)</f>
        <v>808</v>
      </c>
      <c r="H10" s="66">
        <f t="shared" si="6"/>
        <v>816.08</v>
      </c>
      <c r="I10" s="66">
        <f t="shared" si="6"/>
        <v>824.24080000000004</v>
      </c>
      <c r="J10" s="66">
        <f t="shared" si="6"/>
        <v>832.48320799999999</v>
      </c>
      <c r="K10" s="66">
        <f t="shared" si="6"/>
        <v>840.80804007999996</v>
      </c>
      <c r="L10" s="66">
        <f t="shared" si="6"/>
        <v>849.21612048079999</v>
      </c>
      <c r="M10" s="66">
        <f t="shared" si="6"/>
        <v>857.70828168560797</v>
      </c>
      <c r="N10" s="66">
        <f t="shared" si="6"/>
        <v>866.28536450246406</v>
      </c>
      <c r="O10" s="66">
        <f t="shared" si="6"/>
        <v>874.94821814748866</v>
      </c>
      <c r="P10" s="66">
        <f t="shared" si="6"/>
        <v>883.69770032896361</v>
      </c>
      <c r="Q10" s="66">
        <f t="shared" si="6"/>
        <v>892.5346773322533</v>
      </c>
      <c r="R10" s="66">
        <f t="shared" si="6"/>
        <v>901.46002410557583</v>
      </c>
      <c r="S10" s="66">
        <f t="shared" si="6"/>
        <v>910.47462434663157</v>
      </c>
      <c r="T10" s="66">
        <f t="shared" si="6"/>
        <v>919.57937059009794</v>
      </c>
      <c r="U10" s="66">
        <f t="shared" si="6"/>
        <v>928.77516429599893</v>
      </c>
      <c r="V10" s="66">
        <f t="shared" si="6"/>
        <v>938.06291593895889</v>
      </c>
      <c r="W10" s="66">
        <f t="shared" si="6"/>
        <v>947.44354509834852</v>
      </c>
      <c r="X10" s="66">
        <f t="shared" si="6"/>
        <v>956.91798054933201</v>
      </c>
      <c r="Y10" s="66">
        <f t="shared" si="6"/>
        <v>966.48716035482539</v>
      </c>
      <c r="Z10" s="66">
        <f t="shared" si="6"/>
        <v>976.15203195837364</v>
      </c>
      <c r="AA10" s="66">
        <f t="shared" si="6"/>
        <v>985.91355227795736</v>
      </c>
      <c r="AB10" s="66">
        <f t="shared" si="6"/>
        <v>995.772687800737</v>
      </c>
      <c r="AC10" s="66">
        <f t="shared" si="6"/>
        <v>1005.7304146787444</v>
      </c>
    </row>
    <row r="11" spans="2:39" ht="19.5" customHeight="1" x14ac:dyDescent="0.3">
      <c r="B11" s="22" t="s">
        <v>101</v>
      </c>
      <c r="C11" s="22" t="s">
        <v>102</v>
      </c>
      <c r="D11" s="74">
        <v>3000</v>
      </c>
      <c r="E11" s="33">
        <v>0</v>
      </c>
      <c r="F11" s="67">
        <f t="shared" si="0"/>
        <v>3000</v>
      </c>
      <c r="G11" s="67">
        <f t="shared" ref="G11:AC11" si="7">F11*(1+$E$11)</f>
        <v>3000</v>
      </c>
      <c r="H11" s="67">
        <f t="shared" si="7"/>
        <v>3000</v>
      </c>
      <c r="I11" s="67">
        <f t="shared" si="7"/>
        <v>3000</v>
      </c>
      <c r="J11" s="67">
        <f t="shared" si="7"/>
        <v>3000</v>
      </c>
      <c r="K11" s="67">
        <f t="shared" si="7"/>
        <v>3000</v>
      </c>
      <c r="L11" s="67">
        <f t="shared" si="7"/>
        <v>3000</v>
      </c>
      <c r="M11" s="67">
        <f t="shared" si="7"/>
        <v>3000</v>
      </c>
      <c r="N11" s="67">
        <f t="shared" si="7"/>
        <v>3000</v>
      </c>
      <c r="O11" s="67">
        <f t="shared" si="7"/>
        <v>3000</v>
      </c>
      <c r="P11" s="67">
        <f t="shared" si="7"/>
        <v>3000</v>
      </c>
      <c r="Q11" s="67">
        <f t="shared" si="7"/>
        <v>3000</v>
      </c>
      <c r="R11" s="67">
        <f t="shared" si="7"/>
        <v>3000</v>
      </c>
      <c r="S11" s="67">
        <f t="shared" si="7"/>
        <v>3000</v>
      </c>
      <c r="T11" s="67">
        <f t="shared" si="7"/>
        <v>3000</v>
      </c>
      <c r="U11" s="67">
        <f t="shared" si="7"/>
        <v>3000</v>
      </c>
      <c r="V11" s="67">
        <f t="shared" si="7"/>
        <v>3000</v>
      </c>
      <c r="W11" s="67">
        <f t="shared" si="7"/>
        <v>3000</v>
      </c>
      <c r="X11" s="67">
        <f t="shared" si="7"/>
        <v>3000</v>
      </c>
      <c r="Y11" s="67">
        <f t="shared" si="7"/>
        <v>3000</v>
      </c>
      <c r="Z11" s="67">
        <f t="shared" si="7"/>
        <v>3000</v>
      </c>
      <c r="AA11" s="67">
        <f t="shared" si="7"/>
        <v>3000</v>
      </c>
      <c r="AB11" s="67">
        <f t="shared" si="7"/>
        <v>3000</v>
      </c>
      <c r="AC11" s="67">
        <f t="shared" si="7"/>
        <v>3000</v>
      </c>
    </row>
    <row r="12" spans="2:39" ht="19.5" customHeight="1" x14ac:dyDescent="0.3">
      <c r="B12" s="22" t="s">
        <v>101</v>
      </c>
      <c r="C12" s="22" t="s">
        <v>103</v>
      </c>
      <c r="D12" s="74">
        <v>2000</v>
      </c>
      <c r="E12" s="33">
        <v>0</v>
      </c>
      <c r="F12" s="67">
        <f t="shared" si="0"/>
        <v>2000</v>
      </c>
      <c r="G12" s="67">
        <f t="shared" ref="G12:AC12" si="8">F12*(1+$E$12)</f>
        <v>2000</v>
      </c>
      <c r="H12" s="67">
        <f t="shared" si="8"/>
        <v>2000</v>
      </c>
      <c r="I12" s="67">
        <f t="shared" si="8"/>
        <v>2000</v>
      </c>
      <c r="J12" s="67">
        <f t="shared" si="8"/>
        <v>2000</v>
      </c>
      <c r="K12" s="67">
        <f t="shared" si="8"/>
        <v>2000</v>
      </c>
      <c r="L12" s="67">
        <f t="shared" si="8"/>
        <v>2000</v>
      </c>
      <c r="M12" s="67">
        <f t="shared" si="8"/>
        <v>2000</v>
      </c>
      <c r="N12" s="67">
        <f t="shared" si="8"/>
        <v>2000</v>
      </c>
      <c r="O12" s="67">
        <f t="shared" si="8"/>
        <v>2000</v>
      </c>
      <c r="P12" s="67">
        <f t="shared" si="8"/>
        <v>2000</v>
      </c>
      <c r="Q12" s="67">
        <f t="shared" si="8"/>
        <v>2000</v>
      </c>
      <c r="R12" s="67">
        <f t="shared" si="8"/>
        <v>2000</v>
      </c>
      <c r="S12" s="67">
        <f t="shared" si="8"/>
        <v>2000</v>
      </c>
      <c r="T12" s="67">
        <f t="shared" si="8"/>
        <v>2000</v>
      </c>
      <c r="U12" s="67">
        <f t="shared" si="8"/>
        <v>2000</v>
      </c>
      <c r="V12" s="67">
        <f t="shared" si="8"/>
        <v>2000</v>
      </c>
      <c r="W12" s="67">
        <f t="shared" si="8"/>
        <v>2000</v>
      </c>
      <c r="X12" s="67">
        <f t="shared" si="8"/>
        <v>2000</v>
      </c>
      <c r="Y12" s="67">
        <f t="shared" si="8"/>
        <v>2000</v>
      </c>
      <c r="Z12" s="67">
        <f t="shared" si="8"/>
        <v>2000</v>
      </c>
      <c r="AA12" s="67">
        <f t="shared" si="8"/>
        <v>2000</v>
      </c>
      <c r="AB12" s="67">
        <f t="shared" si="8"/>
        <v>2000</v>
      </c>
      <c r="AC12" s="67">
        <f t="shared" si="8"/>
        <v>2000</v>
      </c>
    </row>
    <row r="13" spans="2:39" ht="19.5" customHeight="1" x14ac:dyDescent="0.3">
      <c r="B13" s="26" t="s">
        <v>104</v>
      </c>
      <c r="C13" s="26" t="s">
        <v>105</v>
      </c>
      <c r="D13" s="75">
        <v>2500</v>
      </c>
      <c r="E13" s="34">
        <v>0.01</v>
      </c>
      <c r="F13" s="68">
        <f t="shared" si="0"/>
        <v>2500</v>
      </c>
      <c r="G13" s="68">
        <f t="shared" ref="G13:AC13" si="9">F13*(1+$E$13)</f>
        <v>2525</v>
      </c>
      <c r="H13" s="68">
        <f t="shared" si="9"/>
        <v>2550.25</v>
      </c>
      <c r="I13" s="68">
        <f t="shared" si="9"/>
        <v>2575.7525000000001</v>
      </c>
      <c r="J13" s="68">
        <f t="shared" si="9"/>
        <v>2601.510025</v>
      </c>
      <c r="K13" s="68">
        <f t="shared" si="9"/>
        <v>2627.5251252500002</v>
      </c>
      <c r="L13" s="68">
        <f t="shared" si="9"/>
        <v>2653.8003765025001</v>
      </c>
      <c r="M13" s="68">
        <f t="shared" si="9"/>
        <v>2680.3383802675253</v>
      </c>
      <c r="N13" s="68">
        <f t="shared" si="9"/>
        <v>2707.1417640702007</v>
      </c>
      <c r="O13" s="68">
        <f t="shared" si="9"/>
        <v>2734.2131817109025</v>
      </c>
      <c r="P13" s="68">
        <f t="shared" si="9"/>
        <v>2761.5553135280115</v>
      </c>
      <c r="Q13" s="68">
        <f t="shared" si="9"/>
        <v>2789.1708666632917</v>
      </c>
      <c r="R13" s="68">
        <f t="shared" si="9"/>
        <v>2817.0625753299246</v>
      </c>
      <c r="S13" s="68">
        <f t="shared" si="9"/>
        <v>2845.2332010832238</v>
      </c>
      <c r="T13" s="68">
        <f t="shared" si="9"/>
        <v>2873.6855330940562</v>
      </c>
      <c r="U13" s="68">
        <f t="shared" si="9"/>
        <v>2902.4223884249968</v>
      </c>
      <c r="V13" s="68">
        <f t="shared" si="9"/>
        <v>2931.446612309247</v>
      </c>
      <c r="W13" s="68">
        <f t="shared" si="9"/>
        <v>2960.7610784323397</v>
      </c>
      <c r="X13" s="68">
        <f t="shared" si="9"/>
        <v>2990.3686892166629</v>
      </c>
      <c r="Y13" s="68">
        <f t="shared" si="9"/>
        <v>3020.2723761088296</v>
      </c>
      <c r="Z13" s="68">
        <f t="shared" si="9"/>
        <v>3050.4750998699178</v>
      </c>
      <c r="AA13" s="68">
        <f t="shared" si="9"/>
        <v>3080.9798508686172</v>
      </c>
      <c r="AB13" s="68">
        <f t="shared" si="9"/>
        <v>3111.7896493773032</v>
      </c>
      <c r="AC13" s="68">
        <f t="shared" si="9"/>
        <v>3142.9075458710763</v>
      </c>
    </row>
    <row r="14" spans="2:39" ht="19.5" customHeight="1" x14ac:dyDescent="0.3">
      <c r="B14" s="35" t="s">
        <v>106</v>
      </c>
      <c r="C14" s="35" t="s">
        <v>107</v>
      </c>
      <c r="D14" s="76">
        <v>1000</v>
      </c>
      <c r="E14" s="36">
        <v>0.01</v>
      </c>
      <c r="F14" s="77">
        <f t="shared" si="0"/>
        <v>1000</v>
      </c>
      <c r="G14" s="77">
        <f t="shared" ref="G14:AC14" si="10">F14*(1+$E$14)</f>
        <v>1010</v>
      </c>
      <c r="H14" s="77">
        <f t="shared" si="10"/>
        <v>1020.1</v>
      </c>
      <c r="I14" s="77">
        <f t="shared" si="10"/>
        <v>1030.3009999999999</v>
      </c>
      <c r="J14" s="77">
        <f t="shared" si="10"/>
        <v>1040.60401</v>
      </c>
      <c r="K14" s="77">
        <f t="shared" si="10"/>
        <v>1051.0100500999999</v>
      </c>
      <c r="L14" s="77">
        <f t="shared" si="10"/>
        <v>1061.5201506009998</v>
      </c>
      <c r="M14" s="77">
        <f t="shared" si="10"/>
        <v>1072.1353521070098</v>
      </c>
      <c r="N14" s="77">
        <f t="shared" si="10"/>
        <v>1082.8567056280799</v>
      </c>
      <c r="O14" s="77">
        <f t="shared" si="10"/>
        <v>1093.6852726843608</v>
      </c>
      <c r="P14" s="77">
        <f t="shared" si="10"/>
        <v>1104.6221254112045</v>
      </c>
      <c r="Q14" s="77">
        <f t="shared" si="10"/>
        <v>1115.6683466653164</v>
      </c>
      <c r="R14" s="77">
        <f t="shared" si="10"/>
        <v>1126.8250301319697</v>
      </c>
      <c r="S14" s="77">
        <f t="shared" si="10"/>
        <v>1138.0932804332895</v>
      </c>
      <c r="T14" s="77">
        <f t="shared" si="10"/>
        <v>1149.4742132376223</v>
      </c>
      <c r="U14" s="77">
        <f t="shared" si="10"/>
        <v>1160.9689553699984</v>
      </c>
      <c r="V14" s="77">
        <f t="shared" si="10"/>
        <v>1172.5786449236984</v>
      </c>
      <c r="W14" s="77">
        <f t="shared" si="10"/>
        <v>1184.3044313729354</v>
      </c>
      <c r="X14" s="77">
        <f t="shared" si="10"/>
        <v>1196.1474756866646</v>
      </c>
      <c r="Y14" s="77">
        <f t="shared" si="10"/>
        <v>1208.1089504435313</v>
      </c>
      <c r="Z14" s="77">
        <f t="shared" si="10"/>
        <v>1220.1900399479666</v>
      </c>
      <c r="AA14" s="77">
        <f t="shared" si="10"/>
        <v>1232.3919403474463</v>
      </c>
      <c r="AB14" s="77">
        <f t="shared" si="10"/>
        <v>1244.7158597509208</v>
      </c>
      <c r="AC14" s="77">
        <f t="shared" si="10"/>
        <v>1257.1630183484301</v>
      </c>
    </row>
    <row r="16" spans="2:39" ht="24" customHeight="1" x14ac:dyDescent="0.3">
      <c r="B16" s="98" t="s">
        <v>108</v>
      </c>
      <c r="C16" s="98"/>
      <c r="D16" s="98"/>
      <c r="E16" s="98"/>
      <c r="F16" s="69">
        <f t="shared" ref="F16:AC16" si="11">SUM(F5,F6)</f>
        <v>11500</v>
      </c>
      <c r="G16" s="69">
        <f t="shared" si="11"/>
        <v>11810</v>
      </c>
      <c r="H16" s="69">
        <f t="shared" si="11"/>
        <v>12128.6</v>
      </c>
      <c r="I16" s="69">
        <f t="shared" si="11"/>
        <v>12456.044000000002</v>
      </c>
      <c r="J16" s="69">
        <f t="shared" si="11"/>
        <v>12792.583040000001</v>
      </c>
      <c r="K16" s="69">
        <f t="shared" si="11"/>
        <v>13138.475405600002</v>
      </c>
      <c r="L16" s="69">
        <f t="shared" si="11"/>
        <v>13493.986839656001</v>
      </c>
      <c r="M16" s="69">
        <f t="shared" si="11"/>
        <v>13859.390760171442</v>
      </c>
      <c r="N16" s="69">
        <f t="shared" si="11"/>
        <v>14234.96848460886</v>
      </c>
      <c r="O16" s="69">
        <f t="shared" si="11"/>
        <v>14621.009460812047</v>
      </c>
      <c r="P16" s="69">
        <f t="shared" si="11"/>
        <v>15017.811504734627</v>
      </c>
      <c r="Q16" s="69">
        <f t="shared" si="11"/>
        <v>15425.681045176851</v>
      </c>
      <c r="R16" s="69">
        <f t="shared" si="11"/>
        <v>15844.933375738343</v>
      </c>
      <c r="S16" s="69">
        <f t="shared" si="11"/>
        <v>16275.892914200804</v>
      </c>
      <c r="T16" s="69">
        <f t="shared" si="11"/>
        <v>16718.893469560946</v>
      </c>
      <c r="U16" s="69">
        <f t="shared" si="11"/>
        <v>17174.278516940576</v>
      </c>
      <c r="V16" s="69">
        <f t="shared" si="11"/>
        <v>17642.401480607448</v>
      </c>
      <c r="W16" s="69">
        <f t="shared" si="11"/>
        <v>18123.626025347501</v>
      </c>
      <c r="X16" s="69">
        <f t="shared" si="11"/>
        <v>18618.326356436191</v>
      </c>
      <c r="Y16" s="69">
        <f t="shared" si="11"/>
        <v>19126.887528464107</v>
      </c>
      <c r="Z16" s="69">
        <f t="shared" si="11"/>
        <v>19649.705763279559</v>
      </c>
      <c r="AA16" s="69">
        <f t="shared" si="11"/>
        <v>20187.188777318705</v>
      </c>
      <c r="AB16" s="69">
        <f t="shared" si="11"/>
        <v>20739.756118601836</v>
      </c>
      <c r="AC16" s="69">
        <f t="shared" si="11"/>
        <v>21307.839513682738</v>
      </c>
    </row>
    <row r="17" spans="2:29" ht="24" customHeight="1" x14ac:dyDescent="0.3">
      <c r="B17" s="98" t="s">
        <v>86</v>
      </c>
      <c r="C17" s="98"/>
      <c r="D17" s="98"/>
      <c r="E17" s="98"/>
      <c r="F17" s="69">
        <f t="shared" ref="F17:AC17" si="12">SUM(F7,F8)</f>
        <v>8500</v>
      </c>
      <c r="G17" s="69">
        <f t="shared" si="12"/>
        <v>8865</v>
      </c>
      <c r="H17" s="69">
        <f t="shared" si="12"/>
        <v>9247.65</v>
      </c>
      <c r="I17" s="69">
        <f t="shared" si="12"/>
        <v>9648.8264999999992</v>
      </c>
      <c r="J17" s="69">
        <f t="shared" si="12"/>
        <v>10069.449765000001</v>
      </c>
      <c r="K17" s="69">
        <f t="shared" si="12"/>
        <v>10510.486012650003</v>
      </c>
      <c r="L17" s="69">
        <f t="shared" si="12"/>
        <v>10972.949710276504</v>
      </c>
      <c r="M17" s="69">
        <f t="shared" si="12"/>
        <v>11457.905986754267</v>
      </c>
      <c r="N17" s="69">
        <f t="shared" si="12"/>
        <v>11966.473164965562</v>
      </c>
      <c r="O17" s="69">
        <f t="shared" si="12"/>
        <v>12499.825420876155</v>
      </c>
      <c r="P17" s="69">
        <f t="shared" si="12"/>
        <v>13059.195575558902</v>
      </c>
      <c r="Q17" s="69">
        <f t="shared" si="12"/>
        <v>13645.878026812175</v>
      </c>
      <c r="R17" s="69">
        <f t="shared" si="12"/>
        <v>14261.231827352865</v>
      </c>
      <c r="S17" s="69">
        <f t="shared" si="12"/>
        <v>14906.683916912592</v>
      </c>
      <c r="T17" s="69">
        <f t="shared" si="12"/>
        <v>15583.732515932224</v>
      </c>
      <c r="U17" s="69">
        <f t="shared" si="12"/>
        <v>16293.950688934578</v>
      </c>
      <c r="V17" s="69">
        <f t="shared" si="12"/>
        <v>17038.990086059108</v>
      </c>
      <c r="W17" s="69">
        <f t="shared" si="12"/>
        <v>17820.584871666644</v>
      </c>
      <c r="X17" s="69">
        <f t="shared" si="12"/>
        <v>18640.555849367596</v>
      </c>
      <c r="Y17" s="69">
        <f t="shared" si="12"/>
        <v>19500.81479329478</v>
      </c>
      <c r="Z17" s="69">
        <f t="shared" si="12"/>
        <v>20403.368995932906</v>
      </c>
      <c r="AA17" s="69">
        <f t="shared" si="12"/>
        <v>21350.326043332676</v>
      </c>
      <c r="AB17" s="69">
        <f t="shared" si="12"/>
        <v>22343.898829078462</v>
      </c>
      <c r="AC17" s="69">
        <f t="shared" si="12"/>
        <v>23386.41081894733</v>
      </c>
    </row>
    <row r="18" spans="2:29" ht="24" customHeight="1" x14ac:dyDescent="0.3">
      <c r="B18" s="98" t="s">
        <v>109</v>
      </c>
      <c r="C18" s="98"/>
      <c r="D18" s="98"/>
      <c r="E18" s="98"/>
      <c r="F18" s="69">
        <f t="shared" ref="F18:AC18" si="13">SUM(F9,F10)</f>
        <v>5800</v>
      </c>
      <c r="G18" s="69">
        <f t="shared" si="13"/>
        <v>5808</v>
      </c>
      <c r="H18" s="69">
        <f t="shared" si="13"/>
        <v>5816.08</v>
      </c>
      <c r="I18" s="69">
        <f t="shared" si="13"/>
        <v>5824.2407999999996</v>
      </c>
      <c r="J18" s="69">
        <f t="shared" si="13"/>
        <v>5832.4832079999996</v>
      </c>
      <c r="K18" s="69">
        <f t="shared" si="13"/>
        <v>5840.80804008</v>
      </c>
      <c r="L18" s="69">
        <f t="shared" si="13"/>
        <v>5849.2161204807999</v>
      </c>
      <c r="M18" s="69">
        <f t="shared" si="13"/>
        <v>5857.7082816856082</v>
      </c>
      <c r="N18" s="69">
        <f t="shared" si="13"/>
        <v>5866.2853645024643</v>
      </c>
      <c r="O18" s="69">
        <f t="shared" si="13"/>
        <v>5874.9482181474887</v>
      </c>
      <c r="P18" s="69">
        <f t="shared" si="13"/>
        <v>5883.6977003289639</v>
      </c>
      <c r="Q18" s="69">
        <f t="shared" si="13"/>
        <v>5892.5346773322535</v>
      </c>
      <c r="R18" s="69">
        <f t="shared" si="13"/>
        <v>5901.4600241055759</v>
      </c>
      <c r="S18" s="69">
        <f t="shared" si="13"/>
        <v>5910.4746243466316</v>
      </c>
      <c r="T18" s="69">
        <f t="shared" si="13"/>
        <v>5919.5793705900978</v>
      </c>
      <c r="U18" s="69">
        <f t="shared" si="13"/>
        <v>5928.7751642959993</v>
      </c>
      <c r="V18" s="69">
        <f t="shared" si="13"/>
        <v>5938.0629159389591</v>
      </c>
      <c r="W18" s="69">
        <f t="shared" si="13"/>
        <v>5947.4435450983483</v>
      </c>
      <c r="X18" s="69">
        <f t="shared" si="13"/>
        <v>5956.9179805493322</v>
      </c>
      <c r="Y18" s="69">
        <f t="shared" si="13"/>
        <v>5966.4871603548254</v>
      </c>
      <c r="Z18" s="69">
        <f t="shared" si="13"/>
        <v>5976.1520319583733</v>
      </c>
      <c r="AA18" s="69">
        <f t="shared" si="13"/>
        <v>5985.913552277957</v>
      </c>
      <c r="AB18" s="69">
        <f t="shared" si="13"/>
        <v>5995.772687800737</v>
      </c>
      <c r="AC18" s="69">
        <f t="shared" si="13"/>
        <v>6005.7304146787446</v>
      </c>
    </row>
    <row r="19" spans="2:29" ht="24" customHeight="1" x14ac:dyDescent="0.3">
      <c r="B19" s="98" t="s">
        <v>110</v>
      </c>
      <c r="C19" s="98"/>
      <c r="D19" s="98"/>
      <c r="E19" s="98"/>
      <c r="F19" s="69">
        <f>SUM(F11,F12)</f>
        <v>5000</v>
      </c>
      <c r="G19" s="69">
        <f t="shared" ref="G19:AC19" si="14">SUM(G11,G12)</f>
        <v>5000</v>
      </c>
      <c r="H19" s="69">
        <f t="shared" si="14"/>
        <v>5000</v>
      </c>
      <c r="I19" s="69">
        <f t="shared" si="14"/>
        <v>5000</v>
      </c>
      <c r="J19" s="69">
        <f t="shared" si="14"/>
        <v>5000</v>
      </c>
      <c r="K19" s="69">
        <f t="shared" si="14"/>
        <v>5000</v>
      </c>
      <c r="L19" s="69">
        <f t="shared" si="14"/>
        <v>5000</v>
      </c>
      <c r="M19" s="69">
        <f t="shared" si="14"/>
        <v>5000</v>
      </c>
      <c r="N19" s="69">
        <f t="shared" si="14"/>
        <v>5000</v>
      </c>
      <c r="O19" s="69">
        <f t="shared" si="14"/>
        <v>5000</v>
      </c>
      <c r="P19" s="69">
        <f t="shared" si="14"/>
        <v>5000</v>
      </c>
      <c r="Q19" s="69">
        <f t="shared" si="14"/>
        <v>5000</v>
      </c>
      <c r="R19" s="69">
        <f t="shared" si="14"/>
        <v>5000</v>
      </c>
      <c r="S19" s="69">
        <f t="shared" si="14"/>
        <v>5000</v>
      </c>
      <c r="T19" s="69">
        <f t="shared" si="14"/>
        <v>5000</v>
      </c>
      <c r="U19" s="69">
        <f t="shared" si="14"/>
        <v>5000</v>
      </c>
      <c r="V19" s="69">
        <f t="shared" si="14"/>
        <v>5000</v>
      </c>
      <c r="W19" s="69">
        <f t="shared" si="14"/>
        <v>5000</v>
      </c>
      <c r="X19" s="69">
        <f t="shared" si="14"/>
        <v>5000</v>
      </c>
      <c r="Y19" s="69">
        <f t="shared" si="14"/>
        <v>5000</v>
      </c>
      <c r="Z19" s="69">
        <f t="shared" si="14"/>
        <v>5000</v>
      </c>
      <c r="AA19" s="69">
        <f t="shared" si="14"/>
        <v>5000</v>
      </c>
      <c r="AB19" s="69">
        <f t="shared" si="14"/>
        <v>5000</v>
      </c>
      <c r="AC19" s="69">
        <f t="shared" si="14"/>
        <v>5000</v>
      </c>
    </row>
    <row r="20" spans="2:29" ht="24" customHeight="1" x14ac:dyDescent="0.3">
      <c r="B20" s="98" t="s">
        <v>111</v>
      </c>
      <c r="C20" s="98"/>
      <c r="D20" s="98"/>
      <c r="E20" s="98"/>
      <c r="F20" s="69">
        <f t="shared" ref="F20:AC20" si="15">SUM(F13)</f>
        <v>2500</v>
      </c>
      <c r="G20" s="69">
        <f t="shared" si="15"/>
        <v>2525</v>
      </c>
      <c r="H20" s="69">
        <f t="shared" si="15"/>
        <v>2550.25</v>
      </c>
      <c r="I20" s="69">
        <f t="shared" si="15"/>
        <v>2575.7525000000001</v>
      </c>
      <c r="J20" s="69">
        <f t="shared" si="15"/>
        <v>2601.510025</v>
      </c>
      <c r="K20" s="69">
        <f t="shared" si="15"/>
        <v>2627.5251252500002</v>
      </c>
      <c r="L20" s="69">
        <f t="shared" si="15"/>
        <v>2653.8003765025001</v>
      </c>
      <c r="M20" s="69">
        <f t="shared" si="15"/>
        <v>2680.3383802675253</v>
      </c>
      <c r="N20" s="69">
        <f t="shared" si="15"/>
        <v>2707.1417640702007</v>
      </c>
      <c r="O20" s="69">
        <f t="shared" si="15"/>
        <v>2734.2131817109025</v>
      </c>
      <c r="P20" s="69">
        <f t="shared" si="15"/>
        <v>2761.5553135280115</v>
      </c>
      <c r="Q20" s="69">
        <f t="shared" si="15"/>
        <v>2789.1708666632917</v>
      </c>
      <c r="R20" s="69">
        <f t="shared" si="15"/>
        <v>2817.0625753299246</v>
      </c>
      <c r="S20" s="69">
        <f t="shared" si="15"/>
        <v>2845.2332010832238</v>
      </c>
      <c r="T20" s="69">
        <f t="shared" si="15"/>
        <v>2873.6855330940562</v>
      </c>
      <c r="U20" s="69">
        <f t="shared" si="15"/>
        <v>2902.4223884249968</v>
      </c>
      <c r="V20" s="69">
        <f t="shared" si="15"/>
        <v>2931.446612309247</v>
      </c>
      <c r="W20" s="69">
        <f t="shared" si="15"/>
        <v>2960.7610784323397</v>
      </c>
      <c r="X20" s="69">
        <f t="shared" si="15"/>
        <v>2990.3686892166629</v>
      </c>
      <c r="Y20" s="69">
        <f t="shared" si="15"/>
        <v>3020.2723761088296</v>
      </c>
      <c r="Z20" s="69">
        <f t="shared" si="15"/>
        <v>3050.4750998699178</v>
      </c>
      <c r="AA20" s="69">
        <f t="shared" si="15"/>
        <v>3080.9798508686172</v>
      </c>
      <c r="AB20" s="69">
        <f t="shared" si="15"/>
        <v>3111.7896493773032</v>
      </c>
      <c r="AC20" s="69">
        <f t="shared" si="15"/>
        <v>3142.9075458710763</v>
      </c>
    </row>
    <row r="21" spans="2:29" ht="24" customHeight="1" x14ac:dyDescent="0.3">
      <c r="B21" s="98" t="s">
        <v>112</v>
      </c>
      <c r="C21" s="98"/>
      <c r="D21" s="98"/>
      <c r="E21" s="98"/>
      <c r="F21" s="69">
        <f>SUM(F14)</f>
        <v>1000</v>
      </c>
      <c r="G21" s="69">
        <f t="shared" ref="G21:AC21" si="16">SUM(G14)</f>
        <v>1010</v>
      </c>
      <c r="H21" s="69">
        <f t="shared" si="16"/>
        <v>1020.1</v>
      </c>
      <c r="I21" s="69">
        <f t="shared" si="16"/>
        <v>1030.3009999999999</v>
      </c>
      <c r="J21" s="69">
        <f t="shared" si="16"/>
        <v>1040.60401</v>
      </c>
      <c r="K21" s="69">
        <f t="shared" si="16"/>
        <v>1051.0100500999999</v>
      </c>
      <c r="L21" s="69">
        <f t="shared" si="16"/>
        <v>1061.5201506009998</v>
      </c>
      <c r="M21" s="69">
        <f t="shared" si="16"/>
        <v>1072.1353521070098</v>
      </c>
      <c r="N21" s="69">
        <f t="shared" si="16"/>
        <v>1082.8567056280799</v>
      </c>
      <c r="O21" s="69">
        <f t="shared" si="16"/>
        <v>1093.6852726843608</v>
      </c>
      <c r="P21" s="69">
        <f t="shared" si="16"/>
        <v>1104.6221254112045</v>
      </c>
      <c r="Q21" s="69">
        <f t="shared" si="16"/>
        <v>1115.6683466653164</v>
      </c>
      <c r="R21" s="69">
        <f t="shared" si="16"/>
        <v>1126.8250301319697</v>
      </c>
      <c r="S21" s="69">
        <f t="shared" si="16"/>
        <v>1138.0932804332895</v>
      </c>
      <c r="T21" s="69">
        <f t="shared" si="16"/>
        <v>1149.4742132376223</v>
      </c>
      <c r="U21" s="69">
        <f t="shared" si="16"/>
        <v>1160.9689553699984</v>
      </c>
      <c r="V21" s="69">
        <f t="shared" si="16"/>
        <v>1172.5786449236984</v>
      </c>
      <c r="W21" s="69">
        <f t="shared" si="16"/>
        <v>1184.3044313729354</v>
      </c>
      <c r="X21" s="69">
        <f t="shared" si="16"/>
        <v>1196.1474756866646</v>
      </c>
      <c r="Y21" s="69">
        <f t="shared" si="16"/>
        <v>1208.1089504435313</v>
      </c>
      <c r="Z21" s="69">
        <f t="shared" si="16"/>
        <v>1220.1900399479666</v>
      </c>
      <c r="AA21" s="69">
        <f t="shared" si="16"/>
        <v>1232.3919403474463</v>
      </c>
      <c r="AB21" s="69">
        <f t="shared" si="16"/>
        <v>1244.7158597509208</v>
      </c>
      <c r="AC21" s="69">
        <f t="shared" si="16"/>
        <v>1257.1630183484301</v>
      </c>
    </row>
    <row r="23" spans="2:29" ht="24" customHeight="1" x14ac:dyDescent="0.3">
      <c r="B23" s="97" t="s">
        <v>149</v>
      </c>
      <c r="C23" s="97"/>
      <c r="D23" s="97"/>
      <c r="E23" s="97"/>
      <c r="F23" s="70">
        <f t="shared" ref="F23:AC23" si="17">SUM(F16,F17,F18,F19,F20,F21)</f>
        <v>34300</v>
      </c>
      <c r="G23" s="70">
        <f t="shared" si="17"/>
        <v>35018</v>
      </c>
      <c r="H23" s="70">
        <f t="shared" si="17"/>
        <v>35762.68</v>
      </c>
      <c r="I23" s="70">
        <f t="shared" si="17"/>
        <v>36535.164800000006</v>
      </c>
      <c r="J23" s="70">
        <f t="shared" si="17"/>
        <v>37336.630048000006</v>
      </c>
      <c r="K23" s="70">
        <f t="shared" si="17"/>
        <v>38168.304633680003</v>
      </c>
      <c r="L23" s="70">
        <f t="shared" si="17"/>
        <v>39031.473197516803</v>
      </c>
      <c r="M23" s="70">
        <f t="shared" si="17"/>
        <v>39927.478760985854</v>
      </c>
      <c r="N23" s="70">
        <f t="shared" si="17"/>
        <v>40857.725483775168</v>
      </c>
      <c r="O23" s="70">
        <f t="shared" si="17"/>
        <v>41823.681554230963</v>
      </c>
      <c r="P23" s="70">
        <f t="shared" si="17"/>
        <v>42826.88221956171</v>
      </c>
      <c r="Q23" s="70">
        <f t="shared" si="17"/>
        <v>43868.932962649887</v>
      </c>
      <c r="R23" s="70">
        <f t="shared" si="17"/>
        <v>44951.512832658678</v>
      </c>
      <c r="S23" s="70">
        <f t="shared" si="17"/>
        <v>46076.37793697654</v>
      </c>
      <c r="T23" s="70">
        <f t="shared" si="17"/>
        <v>47245.365102414951</v>
      </c>
      <c r="U23" s="70">
        <f t="shared" si="17"/>
        <v>48460.395713966151</v>
      </c>
      <c r="V23" s="70">
        <f t="shared" si="17"/>
        <v>49723.479739838462</v>
      </c>
      <c r="W23" s="70">
        <f t="shared" si="17"/>
        <v>51036.719951917767</v>
      </c>
      <c r="X23" s="70">
        <f t="shared" si="17"/>
        <v>52402.316351256457</v>
      </c>
      <c r="Y23" s="70">
        <f t="shared" si="17"/>
        <v>53822.570808666067</v>
      </c>
      <c r="Z23" s="70">
        <f t="shared" si="17"/>
        <v>55299.891930988721</v>
      </c>
      <c r="AA23" s="70">
        <f t="shared" si="17"/>
        <v>56836.800164145396</v>
      </c>
      <c r="AB23" s="70">
        <f t="shared" si="17"/>
        <v>58435.933144609255</v>
      </c>
      <c r="AC23" s="70">
        <f t="shared" si="17"/>
        <v>60100.051311528317</v>
      </c>
    </row>
  </sheetData>
  <mergeCells count="9">
    <mergeCell ref="B19:E19"/>
    <mergeCell ref="B20:E20"/>
    <mergeCell ref="B21:E21"/>
    <mergeCell ref="B23:E23"/>
    <mergeCell ref="B1:E1"/>
    <mergeCell ref="B2:AM2"/>
    <mergeCell ref="B16:E16"/>
    <mergeCell ref="B17:E17"/>
    <mergeCell ref="B18:E18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M10"/>
  <sheetViews>
    <sheetView showGridLines="0" zoomScaleNormal="100" workbookViewId="0">
      <selection activeCell="I19" sqref="I19"/>
    </sheetView>
  </sheetViews>
  <sheetFormatPr defaultColWidth="8.6640625" defaultRowHeight="14.4" x14ac:dyDescent="0.3"/>
  <cols>
    <col min="1" max="1" width="3" customWidth="1"/>
    <col min="2" max="2" width="22" customWidth="1"/>
    <col min="3" max="3" width="18" customWidth="1"/>
    <col min="4" max="4" width="13" customWidth="1"/>
    <col min="5" max="5" width="15" customWidth="1"/>
    <col min="6" max="6" width="12" customWidth="1"/>
    <col min="7" max="7" width="15" customWidth="1"/>
    <col min="8" max="8" width="8.77734375" customWidth="1"/>
    <col min="9" max="32" width="11" customWidth="1"/>
  </cols>
  <sheetData>
    <row r="1" spans="2:39" ht="27.75" customHeight="1" x14ac:dyDescent="0.3">
      <c r="B1" s="99" t="s">
        <v>113</v>
      </c>
      <c r="C1" s="99"/>
      <c r="D1" s="99"/>
      <c r="E1" s="99"/>
      <c r="F1" s="99"/>
      <c r="G1" s="99"/>
      <c r="H1" s="99"/>
    </row>
    <row r="2" spans="2:39" ht="13.5" customHeight="1" x14ac:dyDescent="0.3"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</row>
    <row r="3" spans="2:39" ht="36" customHeight="1" x14ac:dyDescent="0.3">
      <c r="B3" s="8" t="s">
        <v>114</v>
      </c>
      <c r="C3" s="8" t="s">
        <v>115</v>
      </c>
      <c r="D3" s="8" t="s">
        <v>116</v>
      </c>
      <c r="E3" s="8" t="s">
        <v>117</v>
      </c>
      <c r="F3" s="8" t="s">
        <v>118</v>
      </c>
      <c r="G3" s="8" t="s">
        <v>119</v>
      </c>
      <c r="H3" s="8" t="s">
        <v>120</v>
      </c>
      <c r="I3" s="9" t="s">
        <v>18</v>
      </c>
      <c r="J3" s="9" t="s">
        <v>44</v>
      </c>
      <c r="K3" s="9" t="s">
        <v>45</v>
      </c>
      <c r="L3" s="9" t="s">
        <v>46</v>
      </c>
      <c r="M3" s="9" t="s">
        <v>47</v>
      </c>
      <c r="N3" s="9" t="s">
        <v>48</v>
      </c>
      <c r="O3" s="9" t="s">
        <v>49</v>
      </c>
      <c r="P3" s="9" t="s">
        <v>50</v>
      </c>
      <c r="Q3" s="9" t="s">
        <v>51</v>
      </c>
      <c r="R3" s="9" t="s">
        <v>52</v>
      </c>
      <c r="S3" s="9" t="s">
        <v>53</v>
      </c>
      <c r="T3" s="9" t="s">
        <v>54</v>
      </c>
      <c r="U3" s="9" t="s">
        <v>55</v>
      </c>
      <c r="V3" s="9" t="s">
        <v>56</v>
      </c>
      <c r="W3" s="9" t="s">
        <v>57</v>
      </c>
      <c r="X3" s="9" t="s">
        <v>58</v>
      </c>
      <c r="Y3" s="9" t="s">
        <v>59</v>
      </c>
      <c r="Z3" s="9" t="s">
        <v>60</v>
      </c>
      <c r="AA3" s="9" t="s">
        <v>61</v>
      </c>
      <c r="AB3" s="9" t="s">
        <v>62</v>
      </c>
      <c r="AC3" s="9" t="s">
        <v>63</v>
      </c>
      <c r="AD3" s="9" t="s">
        <v>64</v>
      </c>
      <c r="AE3" s="9" t="s">
        <v>65</v>
      </c>
      <c r="AF3" s="9" t="s">
        <v>66</v>
      </c>
    </row>
    <row r="5" spans="2:39" ht="19.5" customHeight="1" x14ac:dyDescent="0.3">
      <c r="B5" s="14" t="s">
        <v>121</v>
      </c>
      <c r="C5" s="14" t="s">
        <v>122</v>
      </c>
      <c r="D5" s="37" t="s">
        <v>18</v>
      </c>
      <c r="E5" s="72">
        <v>1000000</v>
      </c>
      <c r="F5" s="72">
        <v>75000</v>
      </c>
      <c r="G5" s="65">
        <f>E5-F5</f>
        <v>925000</v>
      </c>
      <c r="H5" s="38"/>
      <c r="I5" s="65">
        <f>G5</f>
        <v>925000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  <c r="AF5" s="17">
        <v>0</v>
      </c>
    </row>
    <row r="6" spans="2:39" ht="19.5" customHeight="1" x14ac:dyDescent="0.3">
      <c r="B6" s="18" t="s">
        <v>167</v>
      </c>
      <c r="C6" s="18" t="s">
        <v>123</v>
      </c>
      <c r="D6" s="39" t="s">
        <v>45</v>
      </c>
      <c r="E6" s="73">
        <v>150000</v>
      </c>
      <c r="F6" s="73">
        <v>12000</v>
      </c>
      <c r="G6" s="66">
        <f>E6-F6</f>
        <v>138000</v>
      </c>
      <c r="H6" s="40"/>
      <c r="I6" s="21">
        <v>0</v>
      </c>
      <c r="J6" s="21">
        <v>0</v>
      </c>
      <c r="K6" s="66">
        <f>G6</f>
        <v>138000</v>
      </c>
      <c r="L6" s="21">
        <v>0</v>
      </c>
      <c r="M6" s="21">
        <v>0</v>
      </c>
      <c r="N6" s="21">
        <v>0</v>
      </c>
      <c r="O6" s="21">
        <v>0</v>
      </c>
      <c r="P6" s="21">
        <v>0</v>
      </c>
      <c r="Q6" s="21">
        <v>0</v>
      </c>
      <c r="R6" s="21">
        <v>0</v>
      </c>
      <c r="S6" s="21">
        <v>0</v>
      </c>
      <c r="T6" s="21">
        <v>0</v>
      </c>
      <c r="U6" s="21">
        <v>0</v>
      </c>
      <c r="V6" s="21">
        <v>0</v>
      </c>
      <c r="W6" s="21">
        <v>0</v>
      </c>
      <c r="X6" s="21">
        <v>0</v>
      </c>
      <c r="Y6" s="21">
        <v>0</v>
      </c>
      <c r="Z6" s="21">
        <v>0</v>
      </c>
      <c r="AA6" s="21">
        <v>0</v>
      </c>
      <c r="AB6" s="21">
        <v>0</v>
      </c>
      <c r="AC6" s="21">
        <v>0</v>
      </c>
      <c r="AD6" s="21">
        <v>0</v>
      </c>
      <c r="AE6" s="21">
        <v>0</v>
      </c>
      <c r="AF6" s="21">
        <v>0</v>
      </c>
    </row>
    <row r="7" spans="2:39" ht="19.5" customHeight="1" x14ac:dyDescent="0.3">
      <c r="B7" s="10" t="s">
        <v>124</v>
      </c>
      <c r="C7" s="10" t="s">
        <v>124</v>
      </c>
      <c r="D7" s="41" t="s">
        <v>48</v>
      </c>
      <c r="E7" s="71">
        <v>250000</v>
      </c>
      <c r="F7" s="71">
        <v>15000</v>
      </c>
      <c r="G7" s="64">
        <f>E7-F7</f>
        <v>235000</v>
      </c>
      <c r="H7" s="42"/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64">
        <f>G7</f>
        <v>235000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</row>
    <row r="8" spans="2:39" ht="19.5" customHeight="1" x14ac:dyDescent="0.3">
      <c r="B8" s="14" t="s">
        <v>125</v>
      </c>
      <c r="C8" s="14" t="s">
        <v>122</v>
      </c>
      <c r="D8" s="37" t="s">
        <v>55</v>
      </c>
      <c r="E8" s="72">
        <v>3000000</v>
      </c>
      <c r="F8" s="72">
        <v>250000</v>
      </c>
      <c r="G8" s="65">
        <f>E8-F8</f>
        <v>2750000</v>
      </c>
      <c r="H8" s="38"/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65">
        <f>G8</f>
        <v>2750000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0</v>
      </c>
      <c r="AF8" s="17">
        <v>0</v>
      </c>
    </row>
    <row r="10" spans="2:39" ht="24" customHeight="1" x14ac:dyDescent="0.3">
      <c r="B10" s="97" t="s">
        <v>150</v>
      </c>
      <c r="C10" s="97"/>
      <c r="D10" s="97"/>
      <c r="E10" s="97"/>
      <c r="F10" s="97"/>
      <c r="G10" s="97"/>
      <c r="H10" s="97"/>
      <c r="I10" s="70">
        <f t="shared" ref="I10:AF10" si="0">SUM(I5:I8)</f>
        <v>925000</v>
      </c>
      <c r="J10" s="70">
        <f t="shared" si="0"/>
        <v>0</v>
      </c>
      <c r="K10" s="70">
        <f t="shared" si="0"/>
        <v>138000</v>
      </c>
      <c r="L10" s="70">
        <f t="shared" si="0"/>
        <v>0</v>
      </c>
      <c r="M10" s="70">
        <f t="shared" si="0"/>
        <v>0</v>
      </c>
      <c r="N10" s="70">
        <f t="shared" si="0"/>
        <v>235000</v>
      </c>
      <c r="O10" s="70">
        <f t="shared" si="0"/>
        <v>0</v>
      </c>
      <c r="P10" s="70">
        <f t="shared" si="0"/>
        <v>0</v>
      </c>
      <c r="Q10" s="70">
        <f t="shared" si="0"/>
        <v>0</v>
      </c>
      <c r="R10" s="70">
        <f t="shared" si="0"/>
        <v>0</v>
      </c>
      <c r="S10" s="70">
        <f t="shared" si="0"/>
        <v>0</v>
      </c>
      <c r="T10" s="70">
        <f t="shared" si="0"/>
        <v>0</v>
      </c>
      <c r="U10" s="70">
        <f t="shared" si="0"/>
        <v>2750000</v>
      </c>
      <c r="V10" s="70">
        <f t="shared" si="0"/>
        <v>0</v>
      </c>
      <c r="W10" s="70">
        <f t="shared" si="0"/>
        <v>0</v>
      </c>
      <c r="X10" s="70">
        <f t="shared" si="0"/>
        <v>0</v>
      </c>
      <c r="Y10" s="70">
        <f t="shared" si="0"/>
        <v>0</v>
      </c>
      <c r="Z10" s="70">
        <f t="shared" si="0"/>
        <v>0</v>
      </c>
      <c r="AA10" s="70">
        <f t="shared" si="0"/>
        <v>0</v>
      </c>
      <c r="AB10" s="70">
        <f t="shared" si="0"/>
        <v>0</v>
      </c>
      <c r="AC10" s="70">
        <f t="shared" si="0"/>
        <v>0</v>
      </c>
      <c r="AD10" s="70">
        <f t="shared" si="0"/>
        <v>0</v>
      </c>
      <c r="AE10" s="70">
        <f t="shared" si="0"/>
        <v>0</v>
      </c>
      <c r="AF10" s="70">
        <f t="shared" si="0"/>
        <v>0</v>
      </c>
    </row>
  </sheetData>
  <mergeCells count="3">
    <mergeCell ref="B1:H1"/>
    <mergeCell ref="B2:AM2"/>
    <mergeCell ref="B10:H10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Z32"/>
  <sheetViews>
    <sheetView showGridLines="0" zoomScaleNormal="100" workbookViewId="0">
      <selection activeCell="E31" sqref="E31"/>
    </sheetView>
  </sheetViews>
  <sheetFormatPr defaultColWidth="8.6640625" defaultRowHeight="14.4" x14ac:dyDescent="0.3"/>
  <cols>
    <col min="1" max="1" width="3" customWidth="1"/>
    <col min="2" max="2" width="41.77734375" bestFit="1" customWidth="1"/>
    <col min="3" max="26" width="12" customWidth="1"/>
  </cols>
  <sheetData>
    <row r="1" spans="2:26" ht="27.75" customHeight="1" x14ac:dyDescent="0.3">
      <c r="B1" s="99" t="s">
        <v>126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 spans="2:26" ht="13.5" customHeight="1" x14ac:dyDescent="0.3"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</row>
    <row r="3" spans="2:26" ht="30" customHeight="1" x14ac:dyDescent="0.3">
      <c r="B3" s="43" t="s">
        <v>127</v>
      </c>
      <c r="C3" s="9" t="s">
        <v>18</v>
      </c>
      <c r="D3" s="9" t="s">
        <v>44</v>
      </c>
      <c r="E3" s="9" t="s">
        <v>45</v>
      </c>
      <c r="F3" s="9" t="s">
        <v>46</v>
      </c>
      <c r="G3" s="9" t="s">
        <v>47</v>
      </c>
      <c r="H3" s="9" t="s">
        <v>48</v>
      </c>
      <c r="I3" s="9" t="s">
        <v>49</v>
      </c>
      <c r="J3" s="9" t="s">
        <v>50</v>
      </c>
      <c r="K3" s="9" t="s">
        <v>51</v>
      </c>
      <c r="L3" s="9" t="s">
        <v>52</v>
      </c>
      <c r="M3" s="9" t="s">
        <v>53</v>
      </c>
      <c r="N3" s="9" t="s">
        <v>54</v>
      </c>
      <c r="O3" s="9" t="s">
        <v>55</v>
      </c>
      <c r="P3" s="9" t="s">
        <v>56</v>
      </c>
      <c r="Q3" s="9" t="s">
        <v>57</v>
      </c>
      <c r="R3" s="9" t="s">
        <v>58</v>
      </c>
      <c r="S3" s="9" t="s">
        <v>59</v>
      </c>
      <c r="T3" s="9" t="s">
        <v>60</v>
      </c>
      <c r="U3" s="9" t="s">
        <v>61</v>
      </c>
      <c r="V3" s="9" t="s">
        <v>62</v>
      </c>
      <c r="W3" s="9" t="s">
        <v>63</v>
      </c>
      <c r="X3" s="9" t="s">
        <v>64</v>
      </c>
      <c r="Y3" s="9" t="s">
        <v>65</v>
      </c>
      <c r="Z3" s="9" t="s">
        <v>66</v>
      </c>
    </row>
    <row r="5" spans="2:26" ht="24" customHeight="1" x14ac:dyDescent="0.3">
      <c r="B5" s="97" t="s">
        <v>128</v>
      </c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</row>
    <row r="6" spans="2:26" ht="19.5" customHeight="1" x14ac:dyDescent="0.3">
      <c r="B6" s="1" t="s">
        <v>151</v>
      </c>
      <c r="C6" s="79">
        <f>Inputs!$C$10</f>
        <v>75000</v>
      </c>
      <c r="D6" s="79">
        <f>C6*(1+Inputs!$C$11)</f>
        <v>78750</v>
      </c>
      <c r="E6" s="79">
        <f>D6*(1+Inputs!$C$11)</f>
        <v>82687.5</v>
      </c>
      <c r="F6" s="79">
        <f>E6*(1+Inputs!$C$11)</f>
        <v>86821.875</v>
      </c>
      <c r="G6" s="79">
        <f>F6*(1+Inputs!$C$11)</f>
        <v>91162.96875</v>
      </c>
      <c r="H6" s="79">
        <f>G6*(1+Inputs!$C$11)</f>
        <v>95721.1171875</v>
      </c>
      <c r="I6" s="79">
        <f>H6*(1+Inputs!$C$11)</f>
        <v>100507.173046875</v>
      </c>
      <c r="J6" s="79">
        <f>I6*(1+Inputs!$C$11)</f>
        <v>105532.53169921876</v>
      </c>
      <c r="K6" s="79">
        <f>J6*(1+Inputs!$C$11)</f>
        <v>110809.15828417971</v>
      </c>
      <c r="L6" s="79">
        <f>K6*(1+Inputs!$C$11)</f>
        <v>116349.6161983887</v>
      </c>
      <c r="M6" s="79">
        <f>L6*(1+Inputs!$C$11)</f>
        <v>122167.09700830813</v>
      </c>
      <c r="N6" s="79">
        <f>M6*(1+Inputs!$C$11)</f>
        <v>128275.45185872355</v>
      </c>
      <c r="O6" s="79">
        <f>N6*(1+Inputs!$C$11)</f>
        <v>134689.22445165974</v>
      </c>
      <c r="P6" s="79">
        <f>O6*(1+Inputs!$C$11)</f>
        <v>141423.68567424273</v>
      </c>
      <c r="Q6" s="79">
        <f>P6*(1+Inputs!$C$11)</f>
        <v>148494.86995795488</v>
      </c>
      <c r="R6" s="79">
        <f>Q6*(1+Inputs!$C$11)</f>
        <v>155919.61345585264</v>
      </c>
      <c r="S6" s="79">
        <f>R6*(1+Inputs!$C$11)</f>
        <v>163715.59412864529</v>
      </c>
      <c r="T6" s="79">
        <f>S6*(1+Inputs!$C$11)</f>
        <v>171901.37383507757</v>
      </c>
      <c r="U6" s="79">
        <f>T6*(1+Inputs!$C$11)</f>
        <v>180496.44252683147</v>
      </c>
      <c r="V6" s="79">
        <f>U6*(1+Inputs!$C$11)</f>
        <v>189521.26465317304</v>
      </c>
      <c r="W6" s="79">
        <f>V6*(1+Inputs!$C$11)</f>
        <v>198997.32788583171</v>
      </c>
      <c r="X6" s="79">
        <f>W6*(1+Inputs!$C$11)</f>
        <v>208947.19428012331</v>
      </c>
      <c r="Y6" s="79">
        <f>X6*(1+Inputs!$C$11)</f>
        <v>219394.55399412947</v>
      </c>
      <c r="Z6" s="79">
        <f>Y6*(1+Inputs!$C$11)</f>
        <v>230364.28169383595</v>
      </c>
    </row>
    <row r="7" spans="2:26" ht="19.5" customHeight="1" x14ac:dyDescent="0.3">
      <c r="B7" s="3" t="s">
        <v>152</v>
      </c>
      <c r="C7" s="78">
        <v>0</v>
      </c>
      <c r="D7" s="78">
        <f>C6*(1-Inputs!$C$13)</f>
        <v>73500</v>
      </c>
      <c r="E7" s="78">
        <f>D6*(1-Inputs!$C$13)</f>
        <v>77175</v>
      </c>
      <c r="F7" s="78">
        <f>E6*(1-Inputs!$C$13)</f>
        <v>81033.75</v>
      </c>
      <c r="G7" s="78">
        <f>F6*(1-Inputs!$C$13)</f>
        <v>85085.4375</v>
      </c>
      <c r="H7" s="78">
        <f>G6*(1-Inputs!$C$13)</f>
        <v>89339.709374999991</v>
      </c>
      <c r="I7" s="78">
        <f>H6*(1-Inputs!$C$13)</f>
        <v>93806.694843749996</v>
      </c>
      <c r="J7" s="78">
        <f>I6*(1-Inputs!$C$13)</f>
        <v>98497.029585937504</v>
      </c>
      <c r="K7" s="78">
        <f>J6*(1-Inputs!$C$13)</f>
        <v>103421.88106523438</v>
      </c>
      <c r="L7" s="78">
        <f>K6*(1-Inputs!$C$13)</f>
        <v>108592.97511849611</v>
      </c>
      <c r="M7" s="78">
        <f>L6*(1-Inputs!$C$13)</f>
        <v>114022.62387442093</v>
      </c>
      <c r="N7" s="78">
        <f>M6*(1-Inputs!$C$13)</f>
        <v>119723.75506814197</v>
      </c>
      <c r="O7" s="78">
        <f>N6*(1-Inputs!$C$13)</f>
        <v>125709.94282154908</v>
      </c>
      <c r="P7" s="78">
        <f>O6*(1-Inputs!$C$13)</f>
        <v>131995.43996262655</v>
      </c>
      <c r="Q7" s="78">
        <f>P6*(1-Inputs!$C$13)</f>
        <v>138595.21196075788</v>
      </c>
      <c r="R7" s="78">
        <f>Q6*(1-Inputs!$C$13)</f>
        <v>145524.97255879579</v>
      </c>
      <c r="S7" s="78">
        <f>R6*(1-Inputs!$C$13)</f>
        <v>152801.22118673558</v>
      </c>
      <c r="T7" s="78">
        <f>S6*(1-Inputs!$C$13)</f>
        <v>160441.28224607237</v>
      </c>
      <c r="U7" s="78">
        <f>T6*(1-Inputs!$C$13)</f>
        <v>168463.346358376</v>
      </c>
      <c r="V7" s="78">
        <f>U6*(1-Inputs!$C$13)</f>
        <v>176886.51367629482</v>
      </c>
      <c r="W7" s="78">
        <f>V6*(1-Inputs!$C$13)</f>
        <v>185730.83936010959</v>
      </c>
      <c r="X7" s="78">
        <f>W6*(1-Inputs!$C$13)</f>
        <v>195017.38132811507</v>
      </c>
      <c r="Y7" s="78">
        <f>X6*(1-Inputs!$C$13)</f>
        <v>204768.25039452084</v>
      </c>
      <c r="Z7" s="78">
        <f>Y6*(1-Inputs!$C$13)</f>
        <v>215006.66291424687</v>
      </c>
    </row>
    <row r="8" spans="2:26" ht="19.5" customHeight="1" x14ac:dyDescent="0.3">
      <c r="B8" s="1" t="s">
        <v>153</v>
      </c>
      <c r="C8" s="80">
        <v>0</v>
      </c>
      <c r="D8" s="80">
        <v>0</v>
      </c>
      <c r="E8" s="80">
        <v>0</v>
      </c>
      <c r="F8" s="80">
        <v>0</v>
      </c>
      <c r="G8" s="80">
        <v>0</v>
      </c>
      <c r="H8" s="80">
        <v>0</v>
      </c>
      <c r="I8" s="80">
        <v>0</v>
      </c>
      <c r="J8" s="80">
        <v>0</v>
      </c>
      <c r="K8" s="80">
        <v>0</v>
      </c>
      <c r="L8" s="80">
        <v>0</v>
      </c>
      <c r="M8" s="80">
        <v>0</v>
      </c>
      <c r="N8" s="80">
        <v>0</v>
      </c>
      <c r="O8" s="80">
        <v>0</v>
      </c>
      <c r="P8" s="80">
        <v>0</v>
      </c>
      <c r="Q8" s="80">
        <v>0</v>
      </c>
      <c r="R8" s="80">
        <v>0</v>
      </c>
      <c r="S8" s="80">
        <v>0</v>
      </c>
      <c r="T8" s="80">
        <v>0</v>
      </c>
      <c r="U8" s="80">
        <v>0</v>
      </c>
      <c r="V8" s="80">
        <v>0</v>
      </c>
      <c r="W8" s="80">
        <v>0</v>
      </c>
      <c r="X8" s="80">
        <v>0</v>
      </c>
      <c r="Y8" s="80">
        <v>0</v>
      </c>
      <c r="Z8" s="80">
        <v>0</v>
      </c>
    </row>
    <row r="9" spans="2:26" ht="19.5" customHeight="1" x14ac:dyDescent="0.3">
      <c r="B9" s="44" t="s">
        <v>129</v>
      </c>
      <c r="C9" s="81">
        <f t="shared" ref="C9:Z9" si="0">C7+C8</f>
        <v>0</v>
      </c>
      <c r="D9" s="81">
        <f t="shared" si="0"/>
        <v>73500</v>
      </c>
      <c r="E9" s="81">
        <f t="shared" si="0"/>
        <v>77175</v>
      </c>
      <c r="F9" s="81">
        <f t="shared" si="0"/>
        <v>81033.75</v>
      </c>
      <c r="G9" s="81">
        <f t="shared" si="0"/>
        <v>85085.4375</v>
      </c>
      <c r="H9" s="81">
        <f t="shared" si="0"/>
        <v>89339.709374999991</v>
      </c>
      <c r="I9" s="81">
        <f t="shared" si="0"/>
        <v>93806.694843749996</v>
      </c>
      <c r="J9" s="81">
        <f t="shared" si="0"/>
        <v>98497.029585937504</v>
      </c>
      <c r="K9" s="81">
        <f t="shared" si="0"/>
        <v>103421.88106523438</v>
      </c>
      <c r="L9" s="81">
        <f t="shared" si="0"/>
        <v>108592.97511849611</v>
      </c>
      <c r="M9" s="81">
        <f t="shared" si="0"/>
        <v>114022.62387442093</v>
      </c>
      <c r="N9" s="81">
        <f t="shared" si="0"/>
        <v>119723.75506814197</v>
      </c>
      <c r="O9" s="81">
        <f t="shared" si="0"/>
        <v>125709.94282154908</v>
      </c>
      <c r="P9" s="81">
        <f t="shared" si="0"/>
        <v>131995.43996262655</v>
      </c>
      <c r="Q9" s="81">
        <f t="shared" si="0"/>
        <v>138595.21196075788</v>
      </c>
      <c r="R9" s="81">
        <f t="shared" si="0"/>
        <v>145524.97255879579</v>
      </c>
      <c r="S9" s="81">
        <f t="shared" si="0"/>
        <v>152801.22118673558</v>
      </c>
      <c r="T9" s="81">
        <f t="shared" si="0"/>
        <v>160441.28224607237</v>
      </c>
      <c r="U9" s="81">
        <f t="shared" si="0"/>
        <v>168463.346358376</v>
      </c>
      <c r="V9" s="81">
        <f t="shared" si="0"/>
        <v>176886.51367629482</v>
      </c>
      <c r="W9" s="81">
        <f t="shared" si="0"/>
        <v>185730.83936010959</v>
      </c>
      <c r="X9" s="81">
        <f t="shared" si="0"/>
        <v>195017.38132811507</v>
      </c>
      <c r="Y9" s="81">
        <f t="shared" si="0"/>
        <v>204768.25039452084</v>
      </c>
      <c r="Z9" s="81">
        <f t="shared" si="0"/>
        <v>215006.66291424687</v>
      </c>
    </row>
    <row r="10" spans="2:26" ht="6" customHeight="1" x14ac:dyDescent="0.3"/>
    <row r="11" spans="2:26" ht="24" customHeight="1" x14ac:dyDescent="0.3">
      <c r="B11" s="101" t="s">
        <v>130</v>
      </c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</row>
    <row r="12" spans="2:26" ht="19.5" customHeight="1" x14ac:dyDescent="0.3">
      <c r="B12" s="1" t="s">
        <v>154</v>
      </c>
      <c r="C12" s="79">
        <f>Headcount!J22</f>
        <v>59416.666666666664</v>
      </c>
      <c r="D12" s="79">
        <f>Headcount!K22</f>
        <v>68041.666666666657</v>
      </c>
      <c r="E12" s="79">
        <f>Headcount!L22</f>
        <v>82416.666666666657</v>
      </c>
      <c r="F12" s="79">
        <f>Headcount!M22</f>
        <v>87208.333333333328</v>
      </c>
      <c r="G12" s="79">
        <f>Headcount!N22</f>
        <v>87208.333333333328</v>
      </c>
      <c r="H12" s="79">
        <f>Headcount!O22</f>
        <v>95833.333333333343</v>
      </c>
      <c r="I12" s="79">
        <f>Headcount!P22</f>
        <v>104458.33333333334</v>
      </c>
      <c r="J12" s="79">
        <f>Headcount!Q22</f>
        <v>104458.33333333334</v>
      </c>
      <c r="K12" s="79">
        <f>Headcount!R22</f>
        <v>104458.33333333334</v>
      </c>
      <c r="L12" s="79">
        <f>Headcount!S22</f>
        <v>104458.33333333334</v>
      </c>
      <c r="M12" s="79">
        <f>Headcount!T22</f>
        <v>104458.33333333334</v>
      </c>
      <c r="N12" s="79">
        <f>Headcount!U22</f>
        <v>104458.33333333334</v>
      </c>
      <c r="O12" s="79">
        <f>Headcount!V22</f>
        <v>112815</v>
      </c>
      <c r="P12" s="79">
        <f>Headcount!W22</f>
        <v>112815</v>
      </c>
      <c r="Q12" s="79">
        <f>Headcount!X22</f>
        <v>112815</v>
      </c>
      <c r="R12" s="79">
        <f>Headcount!Y22</f>
        <v>112815</v>
      </c>
      <c r="S12" s="79">
        <f>Headcount!Z22</f>
        <v>112815</v>
      </c>
      <c r="T12" s="79">
        <f>Headcount!AA22</f>
        <v>112815</v>
      </c>
      <c r="U12" s="79">
        <f>Headcount!AB22</f>
        <v>112815</v>
      </c>
      <c r="V12" s="79">
        <f>Headcount!AC22</f>
        <v>112815</v>
      </c>
      <c r="W12" s="79">
        <f>Headcount!AD22</f>
        <v>112815</v>
      </c>
      <c r="X12" s="79">
        <f>Headcount!AE22</f>
        <v>112815</v>
      </c>
      <c r="Y12" s="79">
        <f>Headcount!AF22</f>
        <v>112815</v>
      </c>
      <c r="Z12" s="79">
        <f>Headcount!AG22</f>
        <v>112815</v>
      </c>
    </row>
    <row r="13" spans="2:26" ht="19.5" customHeight="1" x14ac:dyDescent="0.3">
      <c r="B13" s="3" t="s">
        <v>155</v>
      </c>
      <c r="C13" s="78">
        <v>0</v>
      </c>
      <c r="D13" s="78">
        <f>Opex!F23</f>
        <v>34300</v>
      </c>
      <c r="E13" s="78">
        <f>Opex!G23</f>
        <v>35018</v>
      </c>
      <c r="F13" s="78">
        <f>Opex!H23</f>
        <v>35762.68</v>
      </c>
      <c r="G13" s="78">
        <f>Opex!I23</f>
        <v>36535.164800000006</v>
      </c>
      <c r="H13" s="78">
        <f>Opex!J23</f>
        <v>37336.630048000006</v>
      </c>
      <c r="I13" s="78">
        <f>Opex!K23</f>
        <v>38168.304633680003</v>
      </c>
      <c r="J13" s="78">
        <f>Opex!L23</f>
        <v>39031.473197516803</v>
      </c>
      <c r="K13" s="78">
        <f>Opex!M23</f>
        <v>39927.478760985854</v>
      </c>
      <c r="L13" s="78">
        <f>Opex!N23</f>
        <v>40857.725483775168</v>
      </c>
      <c r="M13" s="78">
        <f>Opex!O23</f>
        <v>41823.681554230963</v>
      </c>
      <c r="N13" s="78">
        <f>Opex!P23</f>
        <v>42826.88221956171</v>
      </c>
      <c r="O13" s="78">
        <f>Opex!Q23</f>
        <v>43868.932962649887</v>
      </c>
      <c r="P13" s="78">
        <f>Opex!R23</f>
        <v>44951.512832658678</v>
      </c>
      <c r="Q13" s="78">
        <f>Opex!S23</f>
        <v>46076.37793697654</v>
      </c>
      <c r="R13" s="78">
        <f>Opex!T23</f>
        <v>47245.365102414951</v>
      </c>
      <c r="S13" s="78">
        <f>Opex!U23</f>
        <v>48460.395713966151</v>
      </c>
      <c r="T13" s="78">
        <f>Opex!V23</f>
        <v>49723.479739838462</v>
      </c>
      <c r="U13" s="78">
        <f>Opex!W23</f>
        <v>51036.719951917767</v>
      </c>
      <c r="V13" s="78">
        <f>Opex!X23</f>
        <v>52402.316351256457</v>
      </c>
      <c r="W13" s="78">
        <f>Opex!Y23</f>
        <v>53822.570808666067</v>
      </c>
      <c r="X13" s="78">
        <f>Opex!Z23</f>
        <v>55299.891930988721</v>
      </c>
      <c r="Y13" s="78">
        <f>Opex!AA23</f>
        <v>56836.800164145396</v>
      </c>
      <c r="Z13" s="78">
        <f>Opex!AB23</f>
        <v>58435.933144609255</v>
      </c>
    </row>
    <row r="14" spans="2:26" ht="19.5" customHeight="1" x14ac:dyDescent="0.3">
      <c r="B14" s="1" t="s">
        <v>156</v>
      </c>
      <c r="C14" s="80">
        <v>0</v>
      </c>
      <c r="D14" s="80">
        <v>0</v>
      </c>
      <c r="E14" s="80">
        <v>0</v>
      </c>
      <c r="F14" s="80">
        <v>0</v>
      </c>
      <c r="G14" s="80">
        <v>0</v>
      </c>
      <c r="H14" s="80">
        <v>0</v>
      </c>
      <c r="I14" s="80">
        <v>0</v>
      </c>
      <c r="J14" s="80">
        <v>0</v>
      </c>
      <c r="K14" s="80">
        <v>0</v>
      </c>
      <c r="L14" s="80">
        <v>0</v>
      </c>
      <c r="M14" s="80">
        <v>0</v>
      </c>
      <c r="N14" s="80">
        <v>0</v>
      </c>
      <c r="O14" s="80">
        <v>0</v>
      </c>
      <c r="P14" s="80">
        <v>0</v>
      </c>
      <c r="Q14" s="80">
        <v>0</v>
      </c>
      <c r="R14" s="80">
        <v>0</v>
      </c>
      <c r="S14" s="80">
        <v>0</v>
      </c>
      <c r="T14" s="80">
        <v>0</v>
      </c>
      <c r="U14" s="80">
        <v>0</v>
      </c>
      <c r="V14" s="80">
        <v>0</v>
      </c>
      <c r="W14" s="80">
        <v>0</v>
      </c>
      <c r="X14" s="80">
        <v>0</v>
      </c>
      <c r="Y14" s="80">
        <v>0</v>
      </c>
      <c r="Z14" s="80">
        <v>0</v>
      </c>
    </row>
    <row r="15" spans="2:26" ht="19.5" customHeight="1" x14ac:dyDescent="0.3">
      <c r="B15" s="44" t="s">
        <v>131</v>
      </c>
      <c r="C15" s="81">
        <f t="shared" ref="C15:Z15" si="1">C12+C13+C14</f>
        <v>59416.666666666664</v>
      </c>
      <c r="D15" s="81">
        <f t="shared" si="1"/>
        <v>102341.66666666666</v>
      </c>
      <c r="E15" s="81">
        <f t="shared" si="1"/>
        <v>117434.66666666666</v>
      </c>
      <c r="F15" s="81">
        <f t="shared" si="1"/>
        <v>122971.01333333334</v>
      </c>
      <c r="G15" s="81">
        <f t="shared" si="1"/>
        <v>123743.49813333334</v>
      </c>
      <c r="H15" s="81">
        <f t="shared" si="1"/>
        <v>133169.96338133333</v>
      </c>
      <c r="I15" s="81">
        <f t="shared" si="1"/>
        <v>142626.63796701335</v>
      </c>
      <c r="J15" s="81">
        <f t="shared" si="1"/>
        <v>143489.80653085015</v>
      </c>
      <c r="K15" s="81">
        <f t="shared" si="1"/>
        <v>144385.8120943192</v>
      </c>
      <c r="L15" s="81">
        <f t="shared" si="1"/>
        <v>145316.05881710851</v>
      </c>
      <c r="M15" s="81">
        <f t="shared" si="1"/>
        <v>146282.01488756429</v>
      </c>
      <c r="N15" s="81">
        <f t="shared" si="1"/>
        <v>147285.21555289504</v>
      </c>
      <c r="O15" s="81">
        <f t="shared" si="1"/>
        <v>156683.93296264988</v>
      </c>
      <c r="P15" s="81">
        <f t="shared" si="1"/>
        <v>157766.51283265869</v>
      </c>
      <c r="Q15" s="81">
        <f t="shared" si="1"/>
        <v>158891.37793697655</v>
      </c>
      <c r="R15" s="81">
        <f t="shared" si="1"/>
        <v>160060.36510241494</v>
      </c>
      <c r="S15" s="81">
        <f t="shared" si="1"/>
        <v>161275.39571396617</v>
      </c>
      <c r="T15" s="81">
        <f t="shared" si="1"/>
        <v>162538.47973983845</v>
      </c>
      <c r="U15" s="81">
        <f t="shared" si="1"/>
        <v>163851.71995191777</v>
      </c>
      <c r="V15" s="81">
        <f t="shared" si="1"/>
        <v>165217.31635125645</v>
      </c>
      <c r="W15" s="81">
        <f t="shared" si="1"/>
        <v>166637.57080866606</v>
      </c>
      <c r="X15" s="81">
        <f t="shared" si="1"/>
        <v>168114.89193098873</v>
      </c>
      <c r="Y15" s="81">
        <f t="shared" si="1"/>
        <v>169651.80016414539</v>
      </c>
      <c r="Z15" s="81">
        <f t="shared" si="1"/>
        <v>171250.93314460927</v>
      </c>
    </row>
    <row r="16" spans="2:26" ht="6" customHeight="1" x14ac:dyDescent="0.3"/>
    <row r="17" spans="2:26" ht="24" customHeight="1" x14ac:dyDescent="0.3">
      <c r="B17" s="102" t="s">
        <v>132</v>
      </c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</row>
    <row r="18" spans="2:26" ht="19.5" customHeight="1" x14ac:dyDescent="0.3">
      <c r="B18" s="1" t="s">
        <v>157</v>
      </c>
      <c r="C18" s="79">
        <f>Financing!I10</f>
        <v>925000</v>
      </c>
      <c r="D18" s="79">
        <f>Financing!J10</f>
        <v>0</v>
      </c>
      <c r="E18" s="79">
        <f>Financing!K10</f>
        <v>138000</v>
      </c>
      <c r="F18" s="79">
        <f>Financing!L10</f>
        <v>0</v>
      </c>
      <c r="G18" s="79">
        <f>Financing!M10</f>
        <v>0</v>
      </c>
      <c r="H18" s="79">
        <f>Financing!N10</f>
        <v>235000</v>
      </c>
      <c r="I18" s="79">
        <f>Financing!O10</f>
        <v>0</v>
      </c>
      <c r="J18" s="79">
        <f>Financing!P10</f>
        <v>0</v>
      </c>
      <c r="K18" s="79">
        <f>Financing!Q10</f>
        <v>0</v>
      </c>
      <c r="L18" s="79">
        <f>Financing!R10</f>
        <v>0</v>
      </c>
      <c r="M18" s="79">
        <f>Financing!S10</f>
        <v>0</v>
      </c>
      <c r="N18" s="79">
        <f>Financing!T10</f>
        <v>0</v>
      </c>
      <c r="O18" s="79">
        <f>Financing!U10</f>
        <v>2750000</v>
      </c>
      <c r="P18" s="79">
        <f>Financing!V10</f>
        <v>0</v>
      </c>
      <c r="Q18" s="79">
        <f>Financing!W10</f>
        <v>0</v>
      </c>
      <c r="R18" s="79">
        <f>Financing!X10</f>
        <v>0</v>
      </c>
      <c r="S18" s="79">
        <f>Financing!Y10</f>
        <v>0</v>
      </c>
      <c r="T18" s="79">
        <f>Financing!Z10</f>
        <v>0</v>
      </c>
      <c r="U18" s="79">
        <f>Financing!AA10</f>
        <v>0</v>
      </c>
      <c r="V18" s="79">
        <f>Financing!AB10</f>
        <v>0</v>
      </c>
      <c r="W18" s="79">
        <f>Financing!AC10</f>
        <v>0</v>
      </c>
      <c r="X18" s="79">
        <f>Financing!AD10</f>
        <v>0</v>
      </c>
      <c r="Y18" s="79">
        <f>Financing!AE10</f>
        <v>0</v>
      </c>
      <c r="Z18" s="79">
        <f>Financing!AF10</f>
        <v>0</v>
      </c>
    </row>
    <row r="19" spans="2:26" ht="6" customHeight="1" x14ac:dyDescent="0.3"/>
    <row r="20" spans="2:26" ht="24" customHeight="1" x14ac:dyDescent="0.3">
      <c r="B20" s="97" t="s">
        <v>133</v>
      </c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</row>
    <row r="21" spans="2:26" ht="19.5" customHeight="1" x14ac:dyDescent="0.3">
      <c r="B21" s="1" t="s">
        <v>134</v>
      </c>
      <c r="C21" s="77">
        <f t="shared" ref="C21:Z21" si="2">C9-C15+C18</f>
        <v>865583.33333333337</v>
      </c>
      <c r="D21" s="77">
        <f t="shared" si="2"/>
        <v>-28841.666666666657</v>
      </c>
      <c r="E21" s="77">
        <f t="shared" si="2"/>
        <v>97740.333333333343</v>
      </c>
      <c r="F21" s="77">
        <f t="shared" si="2"/>
        <v>-41937.263333333336</v>
      </c>
      <c r="G21" s="77">
        <f t="shared" si="2"/>
        <v>-38658.060633333342</v>
      </c>
      <c r="H21" s="77">
        <f t="shared" si="2"/>
        <v>191169.74599366664</v>
      </c>
      <c r="I21" s="77">
        <f t="shared" si="2"/>
        <v>-48819.943123263351</v>
      </c>
      <c r="J21" s="77">
        <f t="shared" si="2"/>
        <v>-44992.77694491265</v>
      </c>
      <c r="K21" s="77">
        <f t="shared" si="2"/>
        <v>-40963.931029084823</v>
      </c>
      <c r="L21" s="77">
        <f t="shared" si="2"/>
        <v>-36723.083698612405</v>
      </c>
      <c r="M21" s="77">
        <f t="shared" si="2"/>
        <v>-32259.391013143366</v>
      </c>
      <c r="N21" s="77">
        <f t="shared" si="2"/>
        <v>-27561.460484753072</v>
      </c>
      <c r="O21" s="77">
        <f t="shared" si="2"/>
        <v>2719026.0098588993</v>
      </c>
      <c r="P21" s="77">
        <f t="shared" si="2"/>
        <v>-25771.072870032134</v>
      </c>
      <c r="Q21" s="77">
        <f t="shared" si="2"/>
        <v>-20296.165976218675</v>
      </c>
      <c r="R21" s="77">
        <f t="shared" si="2"/>
        <v>-14535.392543619149</v>
      </c>
      <c r="S21" s="77">
        <f t="shared" si="2"/>
        <v>-8474.1745272305852</v>
      </c>
      <c r="T21" s="77">
        <f t="shared" si="2"/>
        <v>-2097.1974937660852</v>
      </c>
      <c r="U21" s="77">
        <f t="shared" si="2"/>
        <v>4611.6264064582356</v>
      </c>
      <c r="V21" s="77">
        <f t="shared" si="2"/>
        <v>11669.197325038374</v>
      </c>
      <c r="W21" s="77">
        <f t="shared" si="2"/>
        <v>19093.268551443529</v>
      </c>
      <c r="X21" s="77">
        <f t="shared" si="2"/>
        <v>26902.489397126337</v>
      </c>
      <c r="Y21" s="77">
        <f t="shared" si="2"/>
        <v>35116.450230375456</v>
      </c>
      <c r="Z21" s="77">
        <f t="shared" si="2"/>
        <v>43755.729769637604</v>
      </c>
    </row>
    <row r="22" spans="2:26" ht="19.5" customHeight="1" x14ac:dyDescent="0.3">
      <c r="B22" s="3" t="s">
        <v>158</v>
      </c>
      <c r="C22" s="78">
        <f>Inputs!$C$6</f>
        <v>500000</v>
      </c>
      <c r="D22" s="78">
        <f t="shared" ref="D22:Z22" si="3">C23</f>
        <v>1365583.3333333335</v>
      </c>
      <c r="E22" s="78">
        <f t="shared" si="3"/>
        <v>1336741.6666666667</v>
      </c>
      <c r="F22" s="78">
        <f t="shared" si="3"/>
        <v>1434482</v>
      </c>
      <c r="G22" s="78">
        <f t="shared" si="3"/>
        <v>1392544.7366666666</v>
      </c>
      <c r="H22" s="78">
        <f t="shared" si="3"/>
        <v>1353886.6760333332</v>
      </c>
      <c r="I22" s="78">
        <f t="shared" si="3"/>
        <v>1545056.4220269998</v>
      </c>
      <c r="J22" s="78">
        <f t="shared" si="3"/>
        <v>1496236.4789037365</v>
      </c>
      <c r="K22" s="78">
        <f t="shared" si="3"/>
        <v>1451243.7019588237</v>
      </c>
      <c r="L22" s="78">
        <f t="shared" si="3"/>
        <v>1410279.7709297389</v>
      </c>
      <c r="M22" s="78">
        <f t="shared" si="3"/>
        <v>1373556.6872311265</v>
      </c>
      <c r="N22" s="78">
        <f t="shared" si="3"/>
        <v>1341297.2962179831</v>
      </c>
      <c r="O22" s="78">
        <f t="shared" si="3"/>
        <v>1313735.83573323</v>
      </c>
      <c r="P22" s="78">
        <f t="shared" si="3"/>
        <v>4032761.845592129</v>
      </c>
      <c r="Q22" s="78">
        <f t="shared" si="3"/>
        <v>4006990.7727220971</v>
      </c>
      <c r="R22" s="78">
        <f t="shared" si="3"/>
        <v>3986694.6067458782</v>
      </c>
      <c r="S22" s="78">
        <f t="shared" si="3"/>
        <v>3972159.2142022592</v>
      </c>
      <c r="T22" s="78">
        <f t="shared" si="3"/>
        <v>3963685.0396750285</v>
      </c>
      <c r="U22" s="78">
        <f t="shared" si="3"/>
        <v>3961587.8421812626</v>
      </c>
      <c r="V22" s="78">
        <f t="shared" si="3"/>
        <v>3966199.4685877208</v>
      </c>
      <c r="W22" s="78">
        <f t="shared" si="3"/>
        <v>3977868.665912759</v>
      </c>
      <c r="X22" s="78">
        <f t="shared" si="3"/>
        <v>3996961.9344642027</v>
      </c>
      <c r="Y22" s="78">
        <f t="shared" si="3"/>
        <v>4023864.423861329</v>
      </c>
      <c r="Z22" s="78">
        <f t="shared" si="3"/>
        <v>4058980.8740917044</v>
      </c>
    </row>
    <row r="23" spans="2:26" ht="24" customHeight="1" x14ac:dyDescent="0.3">
      <c r="B23" s="45" t="s">
        <v>135</v>
      </c>
      <c r="C23" s="82">
        <f t="shared" ref="C23:Z23" si="4">C22+C21</f>
        <v>1365583.3333333335</v>
      </c>
      <c r="D23" s="82">
        <f t="shared" si="4"/>
        <v>1336741.6666666667</v>
      </c>
      <c r="E23" s="82">
        <f t="shared" si="4"/>
        <v>1434482</v>
      </c>
      <c r="F23" s="82">
        <f t="shared" si="4"/>
        <v>1392544.7366666666</v>
      </c>
      <c r="G23" s="82">
        <f t="shared" si="4"/>
        <v>1353886.6760333332</v>
      </c>
      <c r="H23" s="82">
        <f t="shared" si="4"/>
        <v>1545056.4220269998</v>
      </c>
      <c r="I23" s="82">
        <f t="shared" si="4"/>
        <v>1496236.4789037365</v>
      </c>
      <c r="J23" s="82">
        <f t="shared" si="4"/>
        <v>1451243.7019588237</v>
      </c>
      <c r="K23" s="82">
        <f t="shared" si="4"/>
        <v>1410279.7709297389</v>
      </c>
      <c r="L23" s="82">
        <f t="shared" si="4"/>
        <v>1373556.6872311265</v>
      </c>
      <c r="M23" s="82">
        <f t="shared" si="4"/>
        <v>1341297.2962179831</v>
      </c>
      <c r="N23" s="82">
        <f t="shared" si="4"/>
        <v>1313735.83573323</v>
      </c>
      <c r="O23" s="82">
        <f t="shared" si="4"/>
        <v>4032761.845592129</v>
      </c>
      <c r="P23" s="82">
        <f t="shared" si="4"/>
        <v>4006990.7727220971</v>
      </c>
      <c r="Q23" s="82">
        <f t="shared" si="4"/>
        <v>3986694.6067458782</v>
      </c>
      <c r="R23" s="82">
        <f t="shared" si="4"/>
        <v>3972159.2142022592</v>
      </c>
      <c r="S23" s="82">
        <f t="shared" si="4"/>
        <v>3963685.0396750285</v>
      </c>
      <c r="T23" s="82">
        <f t="shared" si="4"/>
        <v>3961587.8421812626</v>
      </c>
      <c r="U23" s="82">
        <f t="shared" si="4"/>
        <v>3966199.4685877208</v>
      </c>
      <c r="V23" s="82">
        <f t="shared" si="4"/>
        <v>3977868.665912759</v>
      </c>
      <c r="W23" s="82">
        <f t="shared" si="4"/>
        <v>3996961.9344642027</v>
      </c>
      <c r="X23" s="82">
        <f t="shared" si="4"/>
        <v>4023864.423861329</v>
      </c>
      <c r="Y23" s="82">
        <f t="shared" si="4"/>
        <v>4058980.8740917044</v>
      </c>
      <c r="Z23" s="82">
        <f t="shared" si="4"/>
        <v>4102736.6038613422</v>
      </c>
    </row>
    <row r="24" spans="2:26" ht="19.5" customHeight="1" x14ac:dyDescent="0.3">
      <c r="B24" s="1" t="s">
        <v>159</v>
      </c>
      <c r="C24" s="46" t="str">
        <f>IF(C23&lt;Inputs!$C$23,"⚠ BELOW BUFFER","OK")</f>
        <v>OK</v>
      </c>
      <c r="D24" s="46" t="str">
        <f>IF(D23&lt;Inputs!$C$23,"⚠ BELOW BUFFER","OK")</f>
        <v>OK</v>
      </c>
      <c r="E24" s="46" t="str">
        <f>IF(E23&lt;Inputs!$C$23,"⚠ BELOW BUFFER","OK")</f>
        <v>OK</v>
      </c>
      <c r="F24" s="46" t="str">
        <f>IF(F23&lt;Inputs!$C$23,"⚠ BELOW BUFFER","OK")</f>
        <v>OK</v>
      </c>
      <c r="G24" s="46" t="str">
        <f>IF(G23&lt;Inputs!$C$23,"⚠ BELOW BUFFER","OK")</f>
        <v>OK</v>
      </c>
      <c r="H24" s="46" t="str">
        <f>IF(H23&lt;Inputs!$C$23,"⚠ BELOW BUFFER","OK")</f>
        <v>OK</v>
      </c>
      <c r="I24" s="46" t="str">
        <f>IF(I23&lt;Inputs!$C$23,"⚠ BELOW BUFFER","OK")</f>
        <v>OK</v>
      </c>
      <c r="J24" s="46" t="str">
        <f>IF(J23&lt;Inputs!$C$23,"⚠ BELOW BUFFER","OK")</f>
        <v>OK</v>
      </c>
      <c r="K24" s="46" t="str">
        <f>IF(K23&lt;Inputs!$C$23,"⚠ BELOW BUFFER","OK")</f>
        <v>OK</v>
      </c>
      <c r="L24" s="46" t="str">
        <f>IF(L23&lt;Inputs!$C$23,"⚠ BELOW BUFFER","OK")</f>
        <v>OK</v>
      </c>
      <c r="M24" s="46" t="str">
        <f>IF(M23&lt;Inputs!$C$23,"⚠ BELOW BUFFER","OK")</f>
        <v>OK</v>
      </c>
      <c r="N24" s="46" t="str">
        <f>IF(N23&lt;Inputs!$C$23,"⚠ BELOW BUFFER","OK")</f>
        <v>OK</v>
      </c>
      <c r="O24" s="46" t="str">
        <f>IF(O23&lt;Inputs!$C$23,"⚠ BELOW BUFFER","OK")</f>
        <v>OK</v>
      </c>
      <c r="P24" s="46" t="str">
        <f>IF(P23&lt;Inputs!$C$23,"⚠ BELOW BUFFER","OK")</f>
        <v>OK</v>
      </c>
      <c r="Q24" s="46" t="str">
        <f>IF(Q23&lt;Inputs!$C$23,"⚠ BELOW BUFFER","OK")</f>
        <v>OK</v>
      </c>
      <c r="R24" s="46" t="str">
        <f>IF(R23&lt;Inputs!$C$23,"⚠ BELOW BUFFER","OK")</f>
        <v>OK</v>
      </c>
      <c r="S24" s="46" t="str">
        <f>IF(S23&lt;Inputs!$C$23,"⚠ BELOW BUFFER","OK")</f>
        <v>OK</v>
      </c>
      <c r="T24" s="46" t="str">
        <f>IF(T23&lt;Inputs!$C$23,"⚠ BELOW BUFFER","OK")</f>
        <v>OK</v>
      </c>
      <c r="U24" s="46" t="str">
        <f>IF(U23&lt;Inputs!$C$23,"⚠ BELOW BUFFER","OK")</f>
        <v>OK</v>
      </c>
      <c r="V24" s="46" t="str">
        <f>IF(V23&lt;Inputs!$C$23,"⚠ BELOW BUFFER","OK")</f>
        <v>OK</v>
      </c>
      <c r="W24" s="46" t="str">
        <f>IF(W23&lt;Inputs!$C$23,"⚠ BELOW BUFFER","OK")</f>
        <v>OK</v>
      </c>
      <c r="X24" s="46" t="str">
        <f>IF(X23&lt;Inputs!$C$23,"⚠ BELOW BUFFER","OK")</f>
        <v>OK</v>
      </c>
      <c r="Y24" s="46" t="str">
        <f>IF(Y23&lt;Inputs!$C$23,"⚠ BELOW BUFFER","OK")</f>
        <v>OK</v>
      </c>
      <c r="Z24" s="46" t="str">
        <f>IF(Z23&lt;Inputs!$C$23,"⚠ BELOW BUFFER","OK")</f>
        <v>OK</v>
      </c>
    </row>
    <row r="25" spans="2:26" ht="6" customHeight="1" x14ac:dyDescent="0.3"/>
    <row r="26" spans="2:26" ht="19.5" customHeight="1" x14ac:dyDescent="0.3">
      <c r="B26" s="3" t="s">
        <v>160</v>
      </c>
      <c r="C26" s="47">
        <f>IF(C27&gt;=0,IFERROR(C23/C27,0),0)</f>
        <v>22.983169705469848</v>
      </c>
      <c r="D26" s="47">
        <f t="shared" ref="D26:Z26" si="5">IF(D27&gt;=0,IFERROR(D23/D27,0),0)</f>
        <v>46.347587402484848</v>
      </c>
      <c r="E26" s="47">
        <f t="shared" si="5"/>
        <v>35.630747066957014</v>
      </c>
      <c r="F26" s="47">
        <f t="shared" si="5"/>
        <v>33.205427011252283</v>
      </c>
      <c r="G26" s="47">
        <f t="shared" si="5"/>
        <v>35.0221054510409</v>
      </c>
      <c r="H26" s="47">
        <f t="shared" si="5"/>
        <v>35.250911888481042</v>
      </c>
      <c r="I26" s="47">
        <f t="shared" si="5"/>
        <v>30.648058624852432</v>
      </c>
      <c r="J26" s="47">
        <f t="shared" si="5"/>
        <v>32.255037374902827</v>
      </c>
      <c r="K26" s="47">
        <f t="shared" si="5"/>
        <v>34.427354394489761</v>
      </c>
      <c r="L26" s="47">
        <f t="shared" si="5"/>
        <v>37.403086802403436</v>
      </c>
      <c r="M26" s="47">
        <f t="shared" si="5"/>
        <v>41.578506416054218</v>
      </c>
      <c r="N26" s="47">
        <f t="shared" si="5"/>
        <v>47.665682900221675</v>
      </c>
      <c r="O26" s="47">
        <f t="shared" si="5"/>
        <v>130.19833180100593</v>
      </c>
      <c r="P26" s="47">
        <f t="shared" si="5"/>
        <v>155.48404961369002</v>
      </c>
      <c r="Q26" s="47">
        <f t="shared" si="5"/>
        <v>196.42599550167006</v>
      </c>
      <c r="R26" s="47">
        <f t="shared" si="5"/>
        <v>273.27498739935896</v>
      </c>
      <c r="S26" s="47">
        <f t="shared" si="5"/>
        <v>467.73700812253463</v>
      </c>
      <c r="T26" s="47">
        <f t="shared" si="5"/>
        <v>1888.9913105261062</v>
      </c>
      <c r="U26" s="47">
        <f t="shared" si="5"/>
        <v>0</v>
      </c>
      <c r="V26" s="47">
        <f t="shared" si="5"/>
        <v>0</v>
      </c>
      <c r="W26" s="47">
        <f t="shared" si="5"/>
        <v>0</v>
      </c>
      <c r="X26" s="47">
        <f t="shared" si="5"/>
        <v>0</v>
      </c>
      <c r="Y26" s="47">
        <f t="shared" si="5"/>
        <v>0</v>
      </c>
      <c r="Z26" s="47">
        <f t="shared" si="5"/>
        <v>0</v>
      </c>
    </row>
    <row r="27" spans="2:26" ht="19.5" customHeight="1" x14ac:dyDescent="0.3">
      <c r="B27" s="1" t="s">
        <v>161</v>
      </c>
      <c r="C27" s="77">
        <f>C15-SUM(C7:C8)</f>
        <v>59416.666666666664</v>
      </c>
      <c r="D27" s="77">
        <f t="shared" ref="D27:Z27" si="6">D15-SUM(D7:D8)</f>
        <v>28841.666666666657</v>
      </c>
      <c r="E27" s="77">
        <f t="shared" si="6"/>
        <v>40259.666666666657</v>
      </c>
      <c r="F27" s="77">
        <f t="shared" si="6"/>
        <v>41937.263333333336</v>
      </c>
      <c r="G27" s="77">
        <f t="shared" si="6"/>
        <v>38658.060633333342</v>
      </c>
      <c r="H27" s="77">
        <f t="shared" si="6"/>
        <v>43830.254006333344</v>
      </c>
      <c r="I27" s="77">
        <f t="shared" si="6"/>
        <v>48819.943123263351</v>
      </c>
      <c r="J27" s="77">
        <f t="shared" si="6"/>
        <v>44992.77694491265</v>
      </c>
      <c r="K27" s="77">
        <f t="shared" si="6"/>
        <v>40963.931029084823</v>
      </c>
      <c r="L27" s="77">
        <f t="shared" si="6"/>
        <v>36723.083698612405</v>
      </c>
      <c r="M27" s="77">
        <f t="shared" si="6"/>
        <v>32259.391013143366</v>
      </c>
      <c r="N27" s="77">
        <f t="shared" si="6"/>
        <v>27561.460484753072</v>
      </c>
      <c r="O27" s="77">
        <f t="shared" si="6"/>
        <v>30973.990141100803</v>
      </c>
      <c r="P27" s="77">
        <f t="shared" si="6"/>
        <v>25771.072870032134</v>
      </c>
      <c r="Q27" s="77">
        <f t="shared" si="6"/>
        <v>20296.165976218675</v>
      </c>
      <c r="R27" s="77">
        <f t="shared" si="6"/>
        <v>14535.392543619149</v>
      </c>
      <c r="S27" s="77">
        <f t="shared" si="6"/>
        <v>8474.1745272305852</v>
      </c>
      <c r="T27" s="77">
        <f t="shared" si="6"/>
        <v>2097.1974937660852</v>
      </c>
      <c r="U27" s="77">
        <f t="shared" si="6"/>
        <v>-4611.6264064582356</v>
      </c>
      <c r="V27" s="77">
        <f t="shared" si="6"/>
        <v>-11669.197325038374</v>
      </c>
      <c r="W27" s="77">
        <f t="shared" si="6"/>
        <v>-19093.268551443529</v>
      </c>
      <c r="X27" s="77">
        <f t="shared" si="6"/>
        <v>-26902.489397126337</v>
      </c>
      <c r="Y27" s="77">
        <f t="shared" si="6"/>
        <v>-35116.450230375456</v>
      </c>
      <c r="Z27" s="77">
        <f t="shared" si="6"/>
        <v>-43755.729769637604</v>
      </c>
    </row>
    <row r="28" spans="2:26" ht="19.5" customHeight="1" x14ac:dyDescent="0.3">
      <c r="B28" s="3" t="s">
        <v>162</v>
      </c>
      <c r="C28" s="48" t="str">
        <f>IF(C27&gt;=0,IFERROR(ABS(C27)/MAX(C6-B6,1),"-"),0)</f>
        <v>-</v>
      </c>
      <c r="D28" s="48">
        <f t="shared" ref="D28:Z28" si="7">IF(D27&gt;=0,IFERROR(ABS(D27)/MAX(D6-C6,1),"-"),0)</f>
        <v>7.6911111111111081</v>
      </c>
      <c r="E28" s="48">
        <f t="shared" si="7"/>
        <v>10.224677248677246</v>
      </c>
      <c r="F28" s="48">
        <f t="shared" si="7"/>
        <v>10.143555757117662</v>
      </c>
      <c r="G28" s="48">
        <f t="shared" si="7"/>
        <v>8.9051430030354304</v>
      </c>
      <c r="H28" s="48">
        <f t="shared" si="7"/>
        <v>9.6158022511379304</v>
      </c>
      <c r="I28" s="48">
        <f t="shared" si="7"/>
        <v>10.200454102020991</v>
      </c>
      <c r="J28" s="48">
        <f t="shared" si="7"/>
        <v>8.9531474383283403</v>
      </c>
      <c r="K28" s="48">
        <f t="shared" si="7"/>
        <v>7.7632802642956005</v>
      </c>
      <c r="L28" s="48">
        <f t="shared" si="7"/>
        <v>6.6281676112786299</v>
      </c>
      <c r="M28" s="48">
        <f t="shared" si="7"/>
        <v>5.5452509543542652</v>
      </c>
      <c r="N28" s="48">
        <f t="shared" si="7"/>
        <v>4.5120922342746139</v>
      </c>
      <c r="O28" s="48">
        <f t="shared" si="7"/>
        <v>4.8292934762317588</v>
      </c>
      <c r="P28" s="48">
        <f t="shared" si="7"/>
        <v>3.8267460481638471</v>
      </c>
      <c r="Q28" s="48">
        <f t="shared" si="7"/>
        <v>2.8702640409144906</v>
      </c>
      <c r="R28" s="48">
        <f t="shared" si="7"/>
        <v>1.9576962554645434</v>
      </c>
      <c r="S28" s="48">
        <f t="shared" si="7"/>
        <v>1.0869927572812974</v>
      </c>
      <c r="T28" s="48">
        <f t="shared" si="7"/>
        <v>0.25620008954286105</v>
      </c>
      <c r="U28" s="48">
        <f t="shared" si="7"/>
        <v>0</v>
      </c>
      <c r="V28" s="48">
        <f t="shared" si="7"/>
        <v>0</v>
      </c>
      <c r="W28" s="48">
        <f t="shared" si="7"/>
        <v>0</v>
      </c>
      <c r="X28" s="48">
        <f t="shared" si="7"/>
        <v>0</v>
      </c>
      <c r="Y28" s="48">
        <f t="shared" si="7"/>
        <v>0</v>
      </c>
      <c r="Z28" s="48">
        <f t="shared" si="7"/>
        <v>0</v>
      </c>
    </row>
    <row r="32" spans="2:26" x14ac:dyDescent="0.3">
      <c r="D32" s="53"/>
    </row>
  </sheetData>
  <mergeCells count="6">
    <mergeCell ref="B20:Z20"/>
    <mergeCell ref="B1:Z1"/>
    <mergeCell ref="B2:Z2"/>
    <mergeCell ref="B5:Z5"/>
    <mergeCell ref="B11:Z11"/>
    <mergeCell ref="B17:Z17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C14"/>
  <sheetViews>
    <sheetView showGridLines="0" zoomScaleNormal="100" workbookViewId="0">
      <selection activeCell="G17" sqref="G17"/>
    </sheetView>
  </sheetViews>
  <sheetFormatPr defaultColWidth="8.6640625" defaultRowHeight="14.4" x14ac:dyDescent="0.3"/>
  <cols>
    <col min="1" max="1" width="3" customWidth="1"/>
    <col min="2" max="2" width="15.6640625" bestFit="1" customWidth="1"/>
    <col min="3" max="4" width="12" customWidth="1"/>
    <col min="5" max="5" width="10.109375" bestFit="1" customWidth="1"/>
    <col min="6" max="20" width="12" customWidth="1"/>
    <col min="21" max="21" width="10.109375" bestFit="1" customWidth="1"/>
    <col min="22" max="24" width="12" customWidth="1"/>
    <col min="25" max="25" width="10.109375" bestFit="1" customWidth="1"/>
    <col min="26" max="29" width="12" customWidth="1"/>
  </cols>
  <sheetData>
    <row r="1" spans="2:29" ht="30" customHeight="1" x14ac:dyDescent="0.4">
      <c r="C1" s="103" t="s">
        <v>136</v>
      </c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</row>
    <row r="3" spans="2:29" ht="15.75" customHeight="1" x14ac:dyDescent="0.3">
      <c r="C3" s="104" t="s">
        <v>137</v>
      </c>
      <c r="D3" s="104"/>
      <c r="E3" s="104"/>
      <c r="G3" s="105" t="s">
        <v>138</v>
      </c>
      <c r="H3" s="106"/>
      <c r="I3" s="107"/>
      <c r="K3" s="105" t="s">
        <v>139</v>
      </c>
      <c r="L3" s="106"/>
      <c r="M3" s="107"/>
      <c r="O3" s="105" t="s">
        <v>140</v>
      </c>
      <c r="P3" s="106"/>
      <c r="Q3" s="107"/>
      <c r="S3" s="108"/>
      <c r="T3" s="108"/>
      <c r="U3" s="108"/>
      <c r="V3" s="54"/>
      <c r="W3" s="108"/>
      <c r="X3" s="108"/>
      <c r="Y3" s="108"/>
    </row>
    <row r="4" spans="2:29" ht="21.75" customHeight="1" x14ac:dyDescent="0.3">
      <c r="C4" s="110">
        <f>Inputs!C6</f>
        <v>500000</v>
      </c>
      <c r="D4" s="110"/>
      <c r="E4" s="110"/>
      <c r="G4" s="111">
        <f>SUM(Financing!I10:AF10)</f>
        <v>4048000</v>
      </c>
      <c r="H4" s="112"/>
      <c r="I4" s="113"/>
      <c r="K4" s="111">
        <f>'Cash Flow'!Z23</f>
        <v>4102736.6038613422</v>
      </c>
      <c r="L4" s="112"/>
      <c r="M4" s="113"/>
      <c r="O4" s="111">
        <f>AVERAGE('Cash Flow'!C27:Z27)</f>
        <v>18552.641505777399</v>
      </c>
      <c r="P4" s="112"/>
      <c r="Q4" s="113"/>
      <c r="S4" s="109"/>
      <c r="T4" s="109"/>
      <c r="U4" s="109"/>
      <c r="V4" s="54"/>
      <c r="W4" s="109"/>
      <c r="X4" s="109"/>
      <c r="Y4" s="109"/>
    </row>
    <row r="5" spans="2:29" ht="30" customHeight="1" x14ac:dyDescent="0.3"/>
    <row r="6" spans="2:29" ht="7.5" customHeight="1" x14ac:dyDescent="0.3"/>
    <row r="8" spans="2:29" ht="24" customHeight="1" x14ac:dyDescent="0.3">
      <c r="C8" s="97" t="s">
        <v>163</v>
      </c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</row>
    <row r="9" spans="2:29" ht="18" customHeight="1" x14ac:dyDescent="0.3">
      <c r="B9" s="49" t="s">
        <v>141</v>
      </c>
      <c r="C9" s="50" t="s">
        <v>18</v>
      </c>
      <c r="D9" s="50" t="s">
        <v>44</v>
      </c>
      <c r="E9" s="50" t="s">
        <v>45</v>
      </c>
      <c r="F9" s="50" t="s">
        <v>46</v>
      </c>
      <c r="G9" s="50" t="s">
        <v>47</v>
      </c>
      <c r="H9" s="50" t="s">
        <v>48</v>
      </c>
      <c r="I9" s="50" t="s">
        <v>49</v>
      </c>
      <c r="J9" s="50" t="s">
        <v>50</v>
      </c>
      <c r="K9" s="50" t="s">
        <v>51</v>
      </c>
      <c r="L9" s="50" t="s">
        <v>52</v>
      </c>
      <c r="M9" s="50" t="s">
        <v>53</v>
      </c>
      <c r="N9" s="50" t="s">
        <v>54</v>
      </c>
      <c r="O9" s="50" t="s">
        <v>55</v>
      </c>
      <c r="P9" s="50" t="s">
        <v>56</v>
      </c>
      <c r="Q9" s="50" t="s">
        <v>57</v>
      </c>
      <c r="R9" s="50" t="s">
        <v>58</v>
      </c>
      <c r="S9" s="50" t="s">
        <v>59</v>
      </c>
      <c r="T9" s="50" t="s">
        <v>60</v>
      </c>
      <c r="U9" s="50" t="s">
        <v>61</v>
      </c>
      <c r="V9" s="50" t="s">
        <v>62</v>
      </c>
      <c r="W9" s="50" t="s">
        <v>63</v>
      </c>
      <c r="X9" s="50" t="s">
        <v>64</v>
      </c>
      <c r="Y9" s="50" t="s">
        <v>65</v>
      </c>
      <c r="Z9" s="50" t="s">
        <v>66</v>
      </c>
    </row>
    <row r="10" spans="2:29" ht="18" customHeight="1" x14ac:dyDescent="0.3">
      <c r="B10" s="3" t="s">
        <v>142</v>
      </c>
      <c r="C10" s="78">
        <f>'Cash Flow'!C23</f>
        <v>1365583.3333333335</v>
      </c>
      <c r="D10" s="78">
        <f>'Cash Flow'!D23</f>
        <v>1336741.6666666667</v>
      </c>
      <c r="E10" s="78">
        <f>'Cash Flow'!E23</f>
        <v>1434482</v>
      </c>
      <c r="F10" s="78">
        <f>'Cash Flow'!F23</f>
        <v>1392544.7366666666</v>
      </c>
      <c r="G10" s="78">
        <f>'Cash Flow'!G23</f>
        <v>1353886.6760333332</v>
      </c>
      <c r="H10" s="78">
        <f>'Cash Flow'!H23</f>
        <v>1545056.4220269998</v>
      </c>
      <c r="I10" s="78">
        <f>'Cash Flow'!I23</f>
        <v>1496236.4789037365</v>
      </c>
      <c r="J10" s="78">
        <f>'Cash Flow'!J23</f>
        <v>1451243.7019588237</v>
      </c>
      <c r="K10" s="78">
        <f>'Cash Flow'!K23</f>
        <v>1410279.7709297389</v>
      </c>
      <c r="L10" s="78">
        <f>'Cash Flow'!L23</f>
        <v>1373556.6872311265</v>
      </c>
      <c r="M10" s="78">
        <f>'Cash Flow'!M23</f>
        <v>1341297.2962179831</v>
      </c>
      <c r="N10" s="78">
        <f>'Cash Flow'!N23</f>
        <v>1313735.83573323</v>
      </c>
      <c r="O10" s="78">
        <f>'Cash Flow'!O23</f>
        <v>4032761.845592129</v>
      </c>
      <c r="P10" s="78">
        <f>'Cash Flow'!P23</f>
        <v>4006990.7727220971</v>
      </c>
      <c r="Q10" s="78">
        <f>'Cash Flow'!Q23</f>
        <v>3986694.6067458782</v>
      </c>
      <c r="R10" s="78">
        <f>'Cash Flow'!R23</f>
        <v>3972159.2142022592</v>
      </c>
      <c r="S10" s="78">
        <f>'Cash Flow'!S23</f>
        <v>3963685.0396750285</v>
      </c>
      <c r="T10" s="78">
        <f>'Cash Flow'!T23</f>
        <v>3961587.8421812626</v>
      </c>
      <c r="U10" s="78">
        <f>'Cash Flow'!U23</f>
        <v>3966199.4685877208</v>
      </c>
      <c r="V10" s="78">
        <f>'Cash Flow'!V23</f>
        <v>3977868.665912759</v>
      </c>
      <c r="W10" s="78">
        <f>'Cash Flow'!W23</f>
        <v>3996961.9344642027</v>
      </c>
      <c r="X10" s="78">
        <f>'Cash Flow'!X23</f>
        <v>4023864.423861329</v>
      </c>
      <c r="Y10" s="78">
        <f>'Cash Flow'!Y23</f>
        <v>4058980.8740917044</v>
      </c>
      <c r="Z10" s="78">
        <f>'Cash Flow'!Z23</f>
        <v>4102736.6038613422</v>
      </c>
    </row>
    <row r="11" spans="2:29" ht="18" customHeight="1" x14ac:dyDescent="0.3">
      <c r="B11" s="1" t="s">
        <v>143</v>
      </c>
      <c r="C11" s="79">
        <f>'Cash Flow'!C27</f>
        <v>59416.666666666664</v>
      </c>
      <c r="D11" s="79">
        <f>'Cash Flow'!D27</f>
        <v>28841.666666666657</v>
      </c>
      <c r="E11" s="79">
        <f>'Cash Flow'!E27</f>
        <v>40259.666666666657</v>
      </c>
      <c r="F11" s="79">
        <f>'Cash Flow'!F27</f>
        <v>41937.263333333336</v>
      </c>
      <c r="G11" s="79">
        <f>'Cash Flow'!G27</f>
        <v>38658.060633333342</v>
      </c>
      <c r="H11" s="79">
        <f>'Cash Flow'!H27</f>
        <v>43830.254006333344</v>
      </c>
      <c r="I11" s="79">
        <f>'Cash Flow'!I27</f>
        <v>48819.943123263351</v>
      </c>
      <c r="J11" s="79">
        <f>'Cash Flow'!J27</f>
        <v>44992.77694491265</v>
      </c>
      <c r="K11" s="79">
        <f>'Cash Flow'!K27</f>
        <v>40963.931029084823</v>
      </c>
      <c r="L11" s="79">
        <f>'Cash Flow'!L27</f>
        <v>36723.083698612405</v>
      </c>
      <c r="M11" s="79">
        <f>'Cash Flow'!M27</f>
        <v>32259.391013143366</v>
      </c>
      <c r="N11" s="79">
        <f>'Cash Flow'!N27</f>
        <v>27561.460484753072</v>
      </c>
      <c r="O11" s="79">
        <f>'Cash Flow'!O27</f>
        <v>30973.990141100803</v>
      </c>
      <c r="P11" s="79">
        <f>'Cash Flow'!P27</f>
        <v>25771.072870032134</v>
      </c>
      <c r="Q11" s="79">
        <f>'Cash Flow'!Q27</f>
        <v>20296.165976218675</v>
      </c>
      <c r="R11" s="79">
        <f>'Cash Flow'!R27</f>
        <v>14535.392543619149</v>
      </c>
      <c r="S11" s="79">
        <f>'Cash Flow'!S27</f>
        <v>8474.1745272305852</v>
      </c>
      <c r="T11" s="79">
        <f>'Cash Flow'!T27</f>
        <v>2097.1974937660852</v>
      </c>
      <c r="U11" s="79">
        <f>'Cash Flow'!U27</f>
        <v>-4611.6264064582356</v>
      </c>
      <c r="V11" s="79">
        <f>'Cash Flow'!V27</f>
        <v>-11669.197325038374</v>
      </c>
      <c r="W11" s="79">
        <f>'Cash Flow'!W27</f>
        <v>-19093.268551443529</v>
      </c>
      <c r="X11" s="79">
        <f>'Cash Flow'!X27</f>
        <v>-26902.489397126337</v>
      </c>
      <c r="Y11" s="79">
        <f>'Cash Flow'!Y27</f>
        <v>-35116.450230375456</v>
      </c>
      <c r="Z11" s="79">
        <f>'Cash Flow'!Z27</f>
        <v>-43755.729769637604</v>
      </c>
    </row>
    <row r="12" spans="2:29" ht="18" customHeight="1" x14ac:dyDescent="0.3">
      <c r="B12" s="3" t="s">
        <v>144</v>
      </c>
      <c r="C12" s="78">
        <f>'Cash Flow'!C9</f>
        <v>0</v>
      </c>
      <c r="D12" s="78">
        <f>'Cash Flow'!D9</f>
        <v>73500</v>
      </c>
      <c r="E12" s="78">
        <f>'Cash Flow'!E9</f>
        <v>77175</v>
      </c>
      <c r="F12" s="78">
        <f>'Cash Flow'!F9</f>
        <v>81033.75</v>
      </c>
      <c r="G12" s="78">
        <f>'Cash Flow'!G9</f>
        <v>85085.4375</v>
      </c>
      <c r="H12" s="78">
        <f>'Cash Flow'!H9</f>
        <v>89339.709374999991</v>
      </c>
      <c r="I12" s="78">
        <f>'Cash Flow'!I9</f>
        <v>93806.694843749996</v>
      </c>
      <c r="J12" s="78">
        <f>'Cash Flow'!J9</f>
        <v>98497.029585937504</v>
      </c>
      <c r="K12" s="78">
        <f>'Cash Flow'!K9</f>
        <v>103421.88106523438</v>
      </c>
      <c r="L12" s="78">
        <f>'Cash Flow'!L9</f>
        <v>108592.97511849611</v>
      </c>
      <c r="M12" s="78">
        <f>'Cash Flow'!M9</f>
        <v>114022.62387442093</v>
      </c>
      <c r="N12" s="78">
        <f>'Cash Flow'!N9</f>
        <v>119723.75506814197</v>
      </c>
      <c r="O12" s="78">
        <f>'Cash Flow'!O9</f>
        <v>125709.94282154908</v>
      </c>
      <c r="P12" s="78">
        <f>'Cash Flow'!P9</f>
        <v>131995.43996262655</v>
      </c>
      <c r="Q12" s="78">
        <f>'Cash Flow'!Q9</f>
        <v>138595.21196075788</v>
      </c>
      <c r="R12" s="78">
        <f>'Cash Flow'!R9</f>
        <v>145524.97255879579</v>
      </c>
      <c r="S12" s="78">
        <f>'Cash Flow'!S9</f>
        <v>152801.22118673558</v>
      </c>
      <c r="T12" s="78">
        <f>'Cash Flow'!T9</f>
        <v>160441.28224607237</v>
      </c>
      <c r="U12" s="78">
        <f>'Cash Flow'!U9</f>
        <v>168463.346358376</v>
      </c>
      <c r="V12" s="78">
        <f>'Cash Flow'!V9</f>
        <v>176886.51367629482</v>
      </c>
      <c r="W12" s="78">
        <f>'Cash Flow'!W9</f>
        <v>185730.83936010959</v>
      </c>
      <c r="X12" s="78">
        <f>'Cash Flow'!X9</f>
        <v>195017.38132811507</v>
      </c>
      <c r="Y12" s="78">
        <f>'Cash Flow'!Y9</f>
        <v>204768.25039452084</v>
      </c>
      <c r="Z12" s="78">
        <f>'Cash Flow'!Z9</f>
        <v>215006.66291424687</v>
      </c>
    </row>
    <row r="13" spans="2:29" ht="18" customHeight="1" x14ac:dyDescent="0.3">
      <c r="B13" s="1" t="s">
        <v>145</v>
      </c>
      <c r="C13" s="79">
        <f>'Cash Flow'!C15</f>
        <v>59416.666666666664</v>
      </c>
      <c r="D13" s="79">
        <f>'Cash Flow'!D15</f>
        <v>102341.66666666666</v>
      </c>
      <c r="E13" s="79">
        <f>'Cash Flow'!E15</f>
        <v>117434.66666666666</v>
      </c>
      <c r="F13" s="79">
        <f>'Cash Flow'!F15</f>
        <v>122971.01333333334</v>
      </c>
      <c r="G13" s="79">
        <f>'Cash Flow'!G15</f>
        <v>123743.49813333334</v>
      </c>
      <c r="H13" s="79">
        <f>'Cash Flow'!H15</f>
        <v>133169.96338133333</v>
      </c>
      <c r="I13" s="79">
        <f>'Cash Flow'!I15</f>
        <v>142626.63796701335</v>
      </c>
      <c r="J13" s="79">
        <f>'Cash Flow'!J15</f>
        <v>143489.80653085015</v>
      </c>
      <c r="K13" s="79">
        <f>'Cash Flow'!K15</f>
        <v>144385.8120943192</v>
      </c>
      <c r="L13" s="79">
        <f>'Cash Flow'!L15</f>
        <v>145316.05881710851</v>
      </c>
      <c r="M13" s="79">
        <f>'Cash Flow'!M15</f>
        <v>146282.01488756429</v>
      </c>
      <c r="N13" s="79">
        <f>'Cash Flow'!N15</f>
        <v>147285.21555289504</v>
      </c>
      <c r="O13" s="79">
        <f>'Cash Flow'!O15</f>
        <v>156683.93296264988</v>
      </c>
      <c r="P13" s="79">
        <f>'Cash Flow'!P15</f>
        <v>157766.51283265869</v>
      </c>
      <c r="Q13" s="79">
        <f>'Cash Flow'!Q15</f>
        <v>158891.37793697655</v>
      </c>
      <c r="R13" s="79">
        <f>'Cash Flow'!R15</f>
        <v>160060.36510241494</v>
      </c>
      <c r="S13" s="79">
        <f>'Cash Flow'!S15</f>
        <v>161275.39571396617</v>
      </c>
      <c r="T13" s="79">
        <f>'Cash Flow'!T15</f>
        <v>162538.47973983845</v>
      </c>
      <c r="U13" s="79">
        <f>'Cash Flow'!U15</f>
        <v>163851.71995191777</v>
      </c>
      <c r="V13" s="79">
        <f>'Cash Flow'!V15</f>
        <v>165217.31635125645</v>
      </c>
      <c r="W13" s="79">
        <f>'Cash Flow'!W15</f>
        <v>166637.57080866606</v>
      </c>
      <c r="X13" s="79">
        <f>'Cash Flow'!X15</f>
        <v>168114.89193098873</v>
      </c>
      <c r="Y13" s="79">
        <f>'Cash Flow'!Y15</f>
        <v>169651.80016414539</v>
      </c>
      <c r="Z13" s="79">
        <f>'Cash Flow'!Z15</f>
        <v>171250.93314460927</v>
      </c>
    </row>
    <row r="14" spans="2:29" ht="18" customHeight="1" x14ac:dyDescent="0.3">
      <c r="B14" s="3" t="s">
        <v>146</v>
      </c>
      <c r="C14" s="51">
        <f>'Cash Flow'!C26</f>
        <v>22.983169705469848</v>
      </c>
      <c r="D14" s="51">
        <f>'Cash Flow'!D26</f>
        <v>46.347587402484848</v>
      </c>
      <c r="E14" s="51">
        <f>'Cash Flow'!E26</f>
        <v>35.630747066957014</v>
      </c>
      <c r="F14" s="51">
        <f>'Cash Flow'!F26</f>
        <v>33.205427011252283</v>
      </c>
      <c r="G14" s="51">
        <f>'Cash Flow'!G26</f>
        <v>35.0221054510409</v>
      </c>
      <c r="H14" s="51">
        <f>'Cash Flow'!H26</f>
        <v>35.250911888481042</v>
      </c>
      <c r="I14" s="51">
        <f>'Cash Flow'!I26</f>
        <v>30.648058624852432</v>
      </c>
      <c r="J14" s="51">
        <f>'Cash Flow'!J26</f>
        <v>32.255037374902827</v>
      </c>
      <c r="K14" s="51">
        <f>'Cash Flow'!K26</f>
        <v>34.427354394489761</v>
      </c>
      <c r="L14" s="51">
        <f>'Cash Flow'!L26</f>
        <v>37.403086802403436</v>
      </c>
      <c r="M14" s="51">
        <f>'Cash Flow'!M26</f>
        <v>41.578506416054218</v>
      </c>
      <c r="N14" s="51">
        <f>'Cash Flow'!N26</f>
        <v>47.665682900221675</v>
      </c>
      <c r="O14" s="51">
        <f>'Cash Flow'!O26</f>
        <v>130.19833180100593</v>
      </c>
      <c r="P14" s="51">
        <f>'Cash Flow'!P26</f>
        <v>155.48404961369002</v>
      </c>
      <c r="Q14" s="51">
        <f>'Cash Flow'!Q26</f>
        <v>196.42599550167006</v>
      </c>
      <c r="R14" s="51">
        <f>'Cash Flow'!R26</f>
        <v>273.27498739935896</v>
      </c>
      <c r="S14" s="51">
        <f>'Cash Flow'!S26</f>
        <v>467.73700812253463</v>
      </c>
      <c r="T14" s="51">
        <f>'Cash Flow'!T26</f>
        <v>1888.9913105261062</v>
      </c>
      <c r="U14" s="51">
        <f>'Cash Flow'!U26</f>
        <v>0</v>
      </c>
      <c r="V14" s="51">
        <f>'Cash Flow'!V26</f>
        <v>0</v>
      </c>
      <c r="W14" s="51">
        <f>'Cash Flow'!W26</f>
        <v>0</v>
      </c>
      <c r="X14" s="51">
        <f>'Cash Flow'!X26</f>
        <v>0</v>
      </c>
      <c r="Y14" s="51">
        <f>'Cash Flow'!Y26</f>
        <v>0</v>
      </c>
      <c r="Z14" s="51">
        <f>'Cash Flow'!Z26</f>
        <v>0</v>
      </c>
    </row>
  </sheetData>
  <mergeCells count="14">
    <mergeCell ref="W4:Y4"/>
    <mergeCell ref="C8:Z8"/>
    <mergeCell ref="C4:E4"/>
    <mergeCell ref="G4:I4"/>
    <mergeCell ref="K4:M4"/>
    <mergeCell ref="O4:Q4"/>
    <mergeCell ref="S4:U4"/>
    <mergeCell ref="C1:AC1"/>
    <mergeCell ref="C3:E3"/>
    <mergeCell ref="G3:I3"/>
    <mergeCell ref="K3:M3"/>
    <mergeCell ref="O3:Q3"/>
    <mergeCell ref="S3:U3"/>
    <mergeCell ref="W3:Y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 - Cash Runway</vt:lpstr>
      <vt:lpstr>Cover</vt:lpstr>
      <vt:lpstr>Inputs</vt:lpstr>
      <vt:lpstr>Headcount</vt:lpstr>
      <vt:lpstr>Opex</vt:lpstr>
      <vt:lpstr>Financing</vt:lpstr>
      <vt:lpstr>Cash Flow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Asif Shukoor</cp:lastModifiedBy>
  <cp:revision>1</cp:revision>
  <dcterms:created xsi:type="dcterms:W3CDTF">2026-04-24T06:04:15Z</dcterms:created>
  <dcterms:modified xsi:type="dcterms:W3CDTF">2026-06-19T10:14:22Z</dcterms:modified>
  <dc:language>en-US</dc:language>
</cp:coreProperties>
</file>