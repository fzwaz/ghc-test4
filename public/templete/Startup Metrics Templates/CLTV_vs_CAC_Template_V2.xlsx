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sifa\OneDrive\Documents\My Docs\GHC Growth Lab\Research &amp; Additional Docs\Community Engagement\Templates\Startup Metrics Templates\With GHC Watermark\"/>
    </mc:Choice>
  </mc:AlternateContent>
  <xr:revisionPtr revIDLastSave="0" documentId="13_ncr:1_{6744F796-A9D9-4DC2-9954-2E838ED78E4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nstructions" sheetId="4" r:id="rId1"/>
    <sheet name="Dashboard" sheetId="3" r:id="rId2"/>
    <sheet name="Inputs" sheetId="1" r:id="rId3"/>
    <sheet name="Calculation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38" i="3" l="1" a="1"/>
  <c r="AE38" i="3" s="1"/>
  <c r="AE39" i="3" a="1"/>
  <c r="AE39" i="3" s="1"/>
  <c r="G6" i="2"/>
  <c r="C3" i="2" l="1"/>
  <c r="C6" i="2" s="1"/>
  <c r="D3" i="2"/>
  <c r="D6" i="2" s="1"/>
  <c r="E3" i="2"/>
  <c r="E6" i="2" s="1"/>
  <c r="F3" i="2"/>
  <c r="F6" i="2" s="1"/>
  <c r="G3" i="2"/>
  <c r="F4" i="2"/>
  <c r="G4" i="2"/>
  <c r="D4" i="2"/>
  <c r="E4" i="2"/>
  <c r="C4" i="2"/>
  <c r="G5" i="2" l="1"/>
  <c r="G7" i="2"/>
  <c r="L6" i="3" a="1"/>
  <c r="L6" i="3" s="1"/>
  <c r="H40" i="3" s="1"/>
  <c r="F7" i="2"/>
  <c r="F5" i="2"/>
  <c r="E7" i="2"/>
  <c r="E5" i="2"/>
  <c r="D5" i="2"/>
  <c r="D7" i="2"/>
  <c r="C7" i="2"/>
  <c r="C6" i="3" a="1"/>
  <c r="C6" i="3" s="1"/>
  <c r="F6" i="3" a="1"/>
  <c r="F6" i="3" s="1"/>
  <c r="H38" i="3" s="1"/>
  <c r="C5" i="2"/>
  <c r="O6" i="3" l="1" a="1"/>
  <c r="O6" i="3" s="1"/>
  <c r="I6" i="3" a="1"/>
  <c r="I6" i="3" s="1"/>
  <c r="H12" i="3" l="1"/>
  <c r="H14" i="3" s="1"/>
  <c r="H39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<sst xmlns="http://schemas.openxmlformats.org/spreadsheetml/2006/main" count="69" uniqueCount="55">
  <si>
    <t>Metric</t>
  </si>
  <si>
    <t>Year 1</t>
  </si>
  <si>
    <t>Year 2</t>
  </si>
  <si>
    <t>Year 3</t>
  </si>
  <si>
    <t>Year 4</t>
  </si>
  <si>
    <t>Marketing Spend</t>
  </si>
  <si>
    <t>Sales Cost</t>
  </si>
  <si>
    <t>New Customers</t>
  </si>
  <si>
    <t>ARPU (Monthly)</t>
  </si>
  <si>
    <t>Gross Margin (%)</t>
  </si>
  <si>
    <t>Lifespan (months)</t>
  </si>
  <si>
    <t>Churn Rate (%)</t>
  </si>
  <si>
    <t>CAC</t>
  </si>
  <si>
    <t>CLTV</t>
  </si>
  <si>
    <t>CLTV:CAC Ratio</t>
  </si>
  <si>
    <t>Profit per Customer</t>
  </si>
  <si>
    <t>Year 5</t>
  </si>
  <si>
    <t>Benchmark ratio</t>
  </si>
  <si>
    <t>CLTV:CAC</t>
  </si>
  <si>
    <t>Payback</t>
  </si>
  <si>
    <t>Profit</t>
  </si>
  <si>
    <t>Key Unit Economics</t>
  </si>
  <si>
    <t>Overall Business Health</t>
  </si>
  <si>
    <t>Key Insights</t>
  </si>
  <si>
    <t>Step-by-Step Instructions</t>
  </si>
  <si>
    <t>Go to the “Inputs” sheet</t>
  </si>
  <si>
    <t>Fill in your data for each year (left to right)</t>
  </si>
  <si>
    <t>Leave unused years blank</t>
  </si>
  <si>
    <t>View results in the “Dashboard” sheet</t>
  </si>
  <si>
    <t>Steps</t>
  </si>
  <si>
    <t>Details</t>
  </si>
  <si>
    <t>What Each Input Means</t>
  </si>
  <si>
    <t>Description</t>
  </si>
  <si>
    <t>Total amount spent on marketing activities (ads, campaigns, tools) for the year</t>
  </si>
  <si>
    <t>Expenses related to sales team (salaries, commissions, CRM tools, etc.)</t>
  </si>
  <si>
    <t>Total number of new customers acquired during the year</t>
  </si>
  <si>
    <t>ARPU (Average Revenue Per User)</t>
  </si>
  <si>
    <t>Average monthly revenue generated per customer</t>
  </si>
  <si>
    <t>Percentage of revenue retained after direct costs (e.g., cost of goods/services)</t>
  </si>
  <si>
    <t>Customer Lifespan (Months)</t>
  </si>
  <si>
    <t>Average duration a customer stays with your business</t>
  </si>
  <si>
    <t>Percentage of customers lost each month</t>
  </si>
  <si>
    <t>Important Guidelines</t>
  </si>
  <si>
    <t>Guideline</t>
  </si>
  <si>
    <t>Enter data left to right</t>
  </si>
  <si>
    <t>Fill data from oldest year to latest (e.g., 2022 → 2025)</t>
  </si>
  <si>
    <t>Fill only input cells</t>
  </si>
  <si>
    <t>Enter values only in highlighted cells; do not edit formulas</t>
  </si>
  <si>
    <t>Use consistent units</t>
  </si>
  <si>
    <t>Ensure all values use the same currency and format</t>
  </si>
  <si>
    <t>Enter data only into the light blue colored cells (do not edit formulas)</t>
  </si>
  <si>
    <t>Keep empty cells blank (do not enter anything into it)</t>
  </si>
  <si>
    <t>Payback Period (in months)</t>
  </si>
  <si>
    <t>Customer Acquisition Cost (CAC)</t>
  </si>
  <si>
    <t>Customer Lifetime Value (CLTV)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</si>
</sst>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₹&quot;\ #,##0"/>
    <numFmt numFmtId="165" formatCode="0.0%"/>
    <numFmt numFmtId="166" formatCode="#,##0.00\ &quot;months&quot;"/>
    <numFmt numFmtId="167" formatCode="0.0"/>
    <numFmt numFmtId="168" formatCode="0.0\ &quot;months&quot;"/>
    <numFmt numFmtId="169" formatCode="#,##0;\(#,##0\);&quot;-&quot;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color theme="5" tint="-0.499984740745262"/>
      <name val="Calibri"/>
      <family val="2"/>
      <scheme val="minor"/>
    </font>
    <font>
      <b/>
      <sz val="16"/>
      <color theme="4" tint="-0.499984740745262"/>
      <name val="Calibri"/>
      <family val="2"/>
      <scheme val="minor"/>
    </font>
    <font>
      <b/>
      <sz val="16"/>
      <color theme="7" tint="-0.499984740745262"/>
      <name val="Calibri"/>
      <family val="2"/>
      <scheme val="minor"/>
    </font>
    <font>
      <b/>
      <sz val="16"/>
      <color theme="6" tint="-0.499984740745262"/>
      <name val="Calibri"/>
      <family val="2"/>
      <scheme val="minor"/>
    </font>
    <font>
      <b/>
      <sz val="16"/>
      <color theme="9" tint="-0.499984740745262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3" fillId="0" borderId="0" xfId="0" applyFont="1"/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3" fontId="14" fillId="3" borderId="1" xfId="0" applyNumberFormat="1" applyFont="1" applyFill="1" applyBorder="1" applyAlignment="1">
      <alignment horizontal="center" vertical="center"/>
    </xf>
    <xf numFmtId="164" fontId="14" fillId="3" borderId="1" xfId="0" applyNumberFormat="1" applyFont="1" applyFill="1" applyBorder="1" applyAlignment="1">
      <alignment horizontal="center" vertical="center"/>
    </xf>
    <xf numFmtId="165" fontId="14" fillId="3" borderId="1" xfId="1" applyNumberFormat="1" applyFont="1" applyFill="1" applyBorder="1" applyAlignment="1">
      <alignment horizontal="center" vertical="center"/>
    </xf>
    <xf numFmtId="166" fontId="14" fillId="3" borderId="1" xfId="0" applyNumberFormat="1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 wrapText="1"/>
    </xf>
    <xf numFmtId="167" fontId="0" fillId="0" borderId="1" xfId="0" applyNumberFormat="1" applyBorder="1" applyAlignment="1">
      <alignment horizontal="center" vertical="center" wrapText="1"/>
    </xf>
    <xf numFmtId="168" fontId="0" fillId="0" borderId="1" xfId="0" applyNumberFormat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13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168" fontId="11" fillId="7" borderId="0" xfId="0" applyNumberFormat="1" applyFont="1" applyFill="1" applyAlignment="1">
      <alignment horizontal="center" vertical="center"/>
    </xf>
    <xf numFmtId="169" fontId="12" fillId="6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3" fontId="8" fillId="4" borderId="0" xfId="0" applyNumberFormat="1" applyFont="1" applyFill="1" applyAlignment="1">
      <alignment horizontal="center" vertical="center"/>
    </xf>
    <xf numFmtId="3" fontId="9" fillId="3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7" fontId="10" fillId="5" borderId="0" xfId="0" applyNumberFormat="1" applyFont="1" applyFill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3">
    <dxf>
      <fill>
        <patternFill>
          <bgColor rgb="FFFF9999"/>
        </patternFill>
      </fill>
    </dxf>
    <dxf>
      <fill>
        <patternFill>
          <bgColor rgb="FFFFFF99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colors>
    <mruColors>
      <color rgb="FFFFFF99"/>
      <color rgb="FFFF9999"/>
      <color rgb="FFFFFF66"/>
      <color rgb="FFFF7C8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ysClr val="windowText" lastClr="000000"/>
                </a:solidFill>
              </a:rPr>
              <a:t>CAC vs CLTV Trend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Calculations!$B$3</c:f>
              <c:strCache>
                <c:ptCount val="1"/>
                <c:pt idx="0">
                  <c:v>Customer Acquisition Cost (CAC)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Calculations!$C$2:$G$2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Calculations!$C$3:$G$3</c:f>
              <c:numCache>
                <c:formatCode>#,##0</c:formatCode>
                <c:ptCount val="5"/>
                <c:pt idx="0">
                  <c:v>11000</c:v>
                </c:pt>
                <c:pt idx="1">
                  <c:v>9333.3333333333339</c:v>
                </c:pt>
                <c:pt idx="2">
                  <c:v>8500</c:v>
                </c:pt>
                <c:pt idx="3">
                  <c:v>8000</c:v>
                </c:pt>
                <c:pt idx="4">
                  <c:v>7666.666666666667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DD-419E-952B-BCA8DF309014}"/>
            </c:ext>
          </c:extLst>
        </c:ser>
        <c:ser>
          <c:idx val="1"/>
          <c:order val="1"/>
          <c:tx>
            <c:strRef>
              <c:f>Calculations!$B$4</c:f>
              <c:strCache>
                <c:ptCount val="1"/>
                <c:pt idx="0">
                  <c:v>Customer Lifetime Value (CLTV)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Calculations!$C$2:$G$2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Calculations!$C$4:$G$4</c:f>
              <c:numCache>
                <c:formatCode>#,##0</c:formatCode>
                <c:ptCount val="5"/>
                <c:pt idx="0">
                  <c:v>5000</c:v>
                </c:pt>
                <c:pt idx="1">
                  <c:v>5250</c:v>
                </c:pt>
                <c:pt idx="2">
                  <c:v>5500.0000000000009</c:v>
                </c:pt>
                <c:pt idx="3">
                  <c:v>5750</c:v>
                </c:pt>
                <c:pt idx="4">
                  <c:v>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DD-419E-952B-BCA8DF3090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2465264"/>
        <c:axId val="1012462384"/>
      </c:lineChart>
      <c:catAx>
        <c:axId val="1012465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462384"/>
        <c:crosses val="autoZero"/>
        <c:auto val="1"/>
        <c:lblAlgn val="ctr"/>
        <c:lblOffset val="100"/>
        <c:noMultiLvlLbl val="0"/>
      </c:catAx>
      <c:valAx>
        <c:axId val="10124623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Amount</a:t>
                </a:r>
                <a:r>
                  <a:rPr lang="en-IN" baseline="0"/>
                  <a:t> (</a:t>
                </a:r>
                <a:r>
                  <a:rPr lang="en-IN" sz="1000" b="0" i="0" u="none" strike="noStrike" baseline="0"/>
                  <a:t>₹)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46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ysClr val="windowText" lastClr="000000"/>
                </a:solidFill>
              </a:rPr>
              <a:t>CLTV:CAC Ratio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Calculations!$B$5</c:f>
              <c:strCache>
                <c:ptCount val="1"/>
                <c:pt idx="0">
                  <c:v>CLTV:CAC Ratio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Calculations!$C$2:$G$2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Calculations!$C$5:$G$5</c:f>
              <c:numCache>
                <c:formatCode>0.0</c:formatCode>
                <c:ptCount val="5"/>
                <c:pt idx="0">
                  <c:v>0.45454545454545453</c:v>
                </c:pt>
                <c:pt idx="1">
                  <c:v>0.5625</c:v>
                </c:pt>
                <c:pt idx="2">
                  <c:v>0.64705882352941191</c:v>
                </c:pt>
                <c:pt idx="3">
                  <c:v>0.71875</c:v>
                </c:pt>
                <c:pt idx="4">
                  <c:v>0.78260869565217384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C3-4651-B317-9C8816827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3058976"/>
        <c:axId val="1543059456"/>
      </c:lineChart>
      <c:catAx>
        <c:axId val="1543058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059456"/>
        <c:crosses val="autoZero"/>
        <c:auto val="1"/>
        <c:lblAlgn val="ctr"/>
        <c:lblOffset val="100"/>
        <c:noMultiLvlLbl val="0"/>
      </c:catAx>
      <c:valAx>
        <c:axId val="15430594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058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232833</xdr:colOff>
      <xdr:row>17</xdr:row>
      <xdr:rowOff>78740</xdr:rowOff>
    </xdr:from>
    <xdr:to>
      <xdr:col>8</xdr:col>
      <xdr:colOff>524636</xdr:colOff>
      <xdr:row>32</xdr:row>
      <xdr:rowOff>139469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875DE2-884E-4082-8C8A-5D2B7C0EF9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397933</xdr:colOff>
      <xdr:row>17</xdr:row>
      <xdr:rowOff>108373</xdr:rowOff>
    </xdr:from>
    <xdr:to>
      <xdr:col>17</xdr:col>
      <xdr:colOff>93133</xdr:colOff>
      <xdr:row>32</xdr:row>
      <xdr:rowOff>108373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3A13114-4BF7-49D5-866B-628993D55C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3F740-B8E3-4756-B64F-ADA35405AB92}">
  <sheetPr>
    <tabColor theme="0" tint="-0.249977111117893"/>
  </sheetPr>
  <dimension ref="B2:L30"/>
  <sheetViews>
    <sheetView showGridLines="0" tabSelected="1" zoomScale="115" zoomScaleNormal="115" workbookViewId="0">
      <selection activeCell="G12" sqref="G12"/>
    </sheetView>
  </sheetViews>
  <sheetFormatPr defaultRowHeight="14.4" x14ac:dyDescent="0.3"/>
  <cols>
    <col min="1" max="1" width="1.77734375" customWidth="1"/>
    <col min="2" max="2" width="9.21875" bestFit="1" customWidth="1"/>
    <col min="3" max="3" width="10.5546875" bestFit="1" customWidth="1"/>
    <col min="5" max="5" width="10.5546875" bestFit="1" customWidth="1"/>
  </cols>
  <sheetData>
    <row r="2" spans="2:12" ht="18" x14ac:dyDescent="0.35">
      <c r="B2" s="9" t="s">
        <v>24</v>
      </c>
    </row>
    <row r="4" spans="2:12" x14ac:dyDescent="0.3">
      <c r="B4" s="12" t="s">
        <v>29</v>
      </c>
      <c r="C4" s="32" t="s">
        <v>30</v>
      </c>
      <c r="D4" s="32"/>
      <c r="E4" s="32"/>
      <c r="F4" s="32"/>
      <c r="G4" s="32"/>
      <c r="H4" s="32"/>
      <c r="I4" s="32"/>
    </row>
    <row r="5" spans="2:12" x14ac:dyDescent="0.3">
      <c r="B5" s="11">
        <v>1</v>
      </c>
      <c r="C5" s="33" t="s">
        <v>25</v>
      </c>
      <c r="D5" s="33"/>
      <c r="E5" s="33"/>
      <c r="F5" s="33"/>
      <c r="G5" s="33"/>
      <c r="H5" s="33"/>
      <c r="I5" s="33"/>
    </row>
    <row r="6" spans="2:12" x14ac:dyDescent="0.3">
      <c r="B6" s="11">
        <v>2</v>
      </c>
      <c r="C6" s="33" t="s">
        <v>26</v>
      </c>
      <c r="D6" s="33"/>
      <c r="E6" s="33"/>
      <c r="F6" s="33"/>
      <c r="G6" s="33"/>
      <c r="H6" s="33"/>
      <c r="I6" s="33"/>
    </row>
    <row r="7" spans="2:12" x14ac:dyDescent="0.3">
      <c r="B7" s="11">
        <v>3</v>
      </c>
      <c r="C7" s="33" t="s">
        <v>50</v>
      </c>
      <c r="D7" s="33"/>
      <c r="E7" s="33"/>
      <c r="F7" s="33"/>
      <c r="G7" s="33"/>
      <c r="H7" s="33"/>
      <c r="I7" s="33"/>
    </row>
    <row r="8" spans="2:12" x14ac:dyDescent="0.3">
      <c r="B8" s="11">
        <v>4</v>
      </c>
      <c r="C8" s="33" t="s">
        <v>27</v>
      </c>
      <c r="D8" s="33"/>
      <c r="E8" s="33"/>
      <c r="F8" s="33"/>
      <c r="G8" s="33"/>
      <c r="H8" s="33"/>
      <c r="I8" s="33"/>
    </row>
    <row r="9" spans="2:12" x14ac:dyDescent="0.3">
      <c r="B9" s="11">
        <v>5</v>
      </c>
      <c r="C9" s="33" t="s">
        <v>28</v>
      </c>
      <c r="D9" s="33"/>
      <c r="E9" s="33"/>
      <c r="F9" s="33"/>
      <c r="G9" s="33"/>
      <c r="H9" s="33"/>
      <c r="I9" s="33"/>
    </row>
    <row r="12" spans="2:12" ht="18" x14ac:dyDescent="0.35">
      <c r="B12" s="9" t="s">
        <v>31</v>
      </c>
    </row>
    <row r="14" spans="2:12" x14ac:dyDescent="0.3">
      <c r="B14" s="31" t="s">
        <v>0</v>
      </c>
      <c r="C14" s="31"/>
      <c r="D14" s="31"/>
      <c r="E14" s="31" t="s">
        <v>32</v>
      </c>
      <c r="F14" s="31"/>
      <c r="G14" s="31"/>
      <c r="H14" s="31"/>
      <c r="I14" s="31"/>
      <c r="J14" s="31"/>
      <c r="K14" s="31"/>
      <c r="L14" s="31"/>
    </row>
    <row r="15" spans="2:12" x14ac:dyDescent="0.3">
      <c r="B15" s="30" t="s">
        <v>5</v>
      </c>
      <c r="C15" s="30"/>
      <c r="D15" s="30"/>
      <c r="E15" s="30" t="s">
        <v>33</v>
      </c>
      <c r="F15" s="30"/>
      <c r="G15" s="30"/>
      <c r="H15" s="30"/>
      <c r="I15" s="30"/>
      <c r="J15" s="30"/>
      <c r="K15" s="30"/>
      <c r="L15" s="30"/>
    </row>
    <row r="16" spans="2:12" x14ac:dyDescent="0.3">
      <c r="B16" s="30" t="s">
        <v>6</v>
      </c>
      <c r="C16" s="30"/>
      <c r="D16" s="30"/>
      <c r="E16" s="30" t="s">
        <v>34</v>
      </c>
      <c r="F16" s="30"/>
      <c r="G16" s="30"/>
      <c r="H16" s="30"/>
      <c r="I16" s="30"/>
      <c r="J16" s="30"/>
      <c r="K16" s="30"/>
      <c r="L16" s="30"/>
    </row>
    <row r="17" spans="2:12" x14ac:dyDescent="0.3">
      <c r="B17" s="30" t="s">
        <v>7</v>
      </c>
      <c r="C17" s="30"/>
      <c r="D17" s="30"/>
      <c r="E17" s="30" t="s">
        <v>35</v>
      </c>
      <c r="F17" s="30"/>
      <c r="G17" s="30"/>
      <c r="H17" s="30"/>
      <c r="I17" s="30"/>
      <c r="J17" s="30"/>
      <c r="K17" s="30"/>
      <c r="L17" s="30"/>
    </row>
    <row r="18" spans="2:12" x14ac:dyDescent="0.3">
      <c r="B18" s="30" t="s">
        <v>36</v>
      </c>
      <c r="C18" s="30"/>
      <c r="D18" s="30"/>
      <c r="E18" s="30" t="s">
        <v>37</v>
      </c>
      <c r="F18" s="30"/>
      <c r="G18" s="30"/>
      <c r="H18" s="30"/>
      <c r="I18" s="30"/>
      <c r="J18" s="30"/>
      <c r="K18" s="30"/>
      <c r="L18" s="30"/>
    </row>
    <row r="19" spans="2:12" x14ac:dyDescent="0.3">
      <c r="B19" s="30" t="s">
        <v>9</v>
      </c>
      <c r="C19" s="30"/>
      <c r="D19" s="30"/>
      <c r="E19" s="30" t="s">
        <v>38</v>
      </c>
      <c r="F19" s="30"/>
      <c r="G19" s="30"/>
      <c r="H19" s="30"/>
      <c r="I19" s="30"/>
      <c r="J19" s="30"/>
      <c r="K19" s="30"/>
      <c r="L19" s="30"/>
    </row>
    <row r="20" spans="2:12" x14ac:dyDescent="0.3">
      <c r="B20" s="30" t="s">
        <v>39</v>
      </c>
      <c r="C20" s="30"/>
      <c r="D20" s="30"/>
      <c r="E20" s="30" t="s">
        <v>40</v>
      </c>
      <c r="F20" s="30"/>
      <c r="G20" s="30"/>
      <c r="H20" s="30"/>
      <c r="I20" s="30"/>
      <c r="J20" s="30"/>
      <c r="K20" s="30"/>
      <c r="L20" s="30"/>
    </row>
    <row r="21" spans="2:12" x14ac:dyDescent="0.3">
      <c r="B21" s="30" t="s">
        <v>11</v>
      </c>
      <c r="C21" s="30"/>
      <c r="D21" s="30"/>
      <c r="E21" s="30" t="s">
        <v>41</v>
      </c>
      <c r="F21" s="30"/>
      <c r="G21" s="30"/>
      <c r="H21" s="30"/>
      <c r="I21" s="30"/>
      <c r="J21" s="30"/>
      <c r="K21" s="30"/>
      <c r="L21" s="30"/>
    </row>
    <row r="24" spans="2:12" ht="18" x14ac:dyDescent="0.35">
      <c r="B24" s="9" t="s">
        <v>42</v>
      </c>
    </row>
    <row r="26" spans="2:12" x14ac:dyDescent="0.3">
      <c r="B26" s="31" t="s">
        <v>43</v>
      </c>
      <c r="C26" s="31"/>
      <c r="D26" s="31"/>
      <c r="E26" s="31" t="s">
        <v>32</v>
      </c>
      <c r="F26" s="31"/>
      <c r="G26" s="31"/>
      <c r="H26" s="31"/>
      <c r="I26" s="31"/>
      <c r="J26" s="31"/>
    </row>
    <row r="27" spans="2:12" x14ac:dyDescent="0.3">
      <c r="B27" s="30" t="s">
        <v>44</v>
      </c>
      <c r="C27" s="30"/>
      <c r="D27" s="30"/>
      <c r="E27" s="30" t="s">
        <v>45</v>
      </c>
      <c r="F27" s="30"/>
      <c r="G27" s="30"/>
      <c r="H27" s="30"/>
      <c r="I27" s="30"/>
      <c r="J27" s="30"/>
    </row>
    <row r="28" spans="2:12" x14ac:dyDescent="0.3">
      <c r="B28" s="30" t="s">
        <v>46</v>
      </c>
      <c r="C28" s="30"/>
      <c r="D28" s="30"/>
      <c r="E28" s="30" t="s">
        <v>47</v>
      </c>
      <c r="F28" s="30"/>
      <c r="G28" s="30"/>
      <c r="H28" s="30"/>
      <c r="I28" s="30"/>
      <c r="J28" s="30"/>
    </row>
    <row r="29" spans="2:12" x14ac:dyDescent="0.3">
      <c r="B29" s="30" t="s">
        <v>27</v>
      </c>
      <c r="C29" s="30"/>
      <c r="D29" s="30"/>
      <c r="E29" s="30" t="s">
        <v>51</v>
      </c>
      <c r="F29" s="30"/>
      <c r="G29" s="30"/>
      <c r="H29" s="30"/>
      <c r="I29" s="30"/>
      <c r="J29" s="30"/>
    </row>
    <row r="30" spans="2:12" x14ac:dyDescent="0.3">
      <c r="B30" s="30" t="s">
        <v>48</v>
      </c>
      <c r="C30" s="30"/>
      <c r="D30" s="30"/>
      <c r="E30" s="30" t="s">
        <v>49</v>
      </c>
      <c r="F30" s="30"/>
      <c r="G30" s="30"/>
      <c r="H30" s="30"/>
      <c r="I30" s="30"/>
      <c r="J30" s="30"/>
    </row>
  </sheetData>
  <mergeCells count="32">
    <mergeCell ref="C4:I4"/>
    <mergeCell ref="E17:L17"/>
    <mergeCell ref="E16:L16"/>
    <mergeCell ref="B14:D14"/>
    <mergeCell ref="B21:D21"/>
    <mergeCell ref="B20:D20"/>
    <mergeCell ref="B19:D19"/>
    <mergeCell ref="B18:D18"/>
    <mergeCell ref="B17:D17"/>
    <mergeCell ref="B16:D16"/>
    <mergeCell ref="B15:D15"/>
    <mergeCell ref="C9:I9"/>
    <mergeCell ref="C8:I8"/>
    <mergeCell ref="C7:I7"/>
    <mergeCell ref="C6:I6"/>
    <mergeCell ref="C5:I5"/>
    <mergeCell ref="E27:J27"/>
    <mergeCell ref="E26:J26"/>
    <mergeCell ref="E15:L15"/>
    <mergeCell ref="E14:L14"/>
    <mergeCell ref="B30:D30"/>
    <mergeCell ref="B29:D29"/>
    <mergeCell ref="B28:D28"/>
    <mergeCell ref="B27:D27"/>
    <mergeCell ref="B26:D26"/>
    <mergeCell ref="E30:J30"/>
    <mergeCell ref="E29:J29"/>
    <mergeCell ref="E28:J28"/>
    <mergeCell ref="E21:L21"/>
    <mergeCell ref="E20:L20"/>
    <mergeCell ref="E19:L19"/>
    <mergeCell ref="E18:L18"/>
  </mergeCells>
  <pageMargins left="0.7" right="0.7" top="0.75" bottom="0.75" header="0.3" footer="0.3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ABD5B-AE8C-4E40-A2F7-BC1DE1B1045F}">
  <sheetPr>
    <tabColor theme="4" tint="-0.499984740745262"/>
  </sheetPr>
  <dimension ref="B1:AE42"/>
  <sheetViews>
    <sheetView showGridLines="0" zoomScale="90" zoomScaleNormal="90" workbookViewId="0">
      <selection activeCell="T22" sqref="T22"/>
    </sheetView>
  </sheetViews>
  <sheetFormatPr defaultRowHeight="14.4" x14ac:dyDescent="0.3"/>
  <cols>
    <col min="1" max="1" width="1.77734375" customWidth="1"/>
    <col min="2" max="2" width="8.88671875" customWidth="1"/>
  </cols>
  <sheetData>
    <row r="1" spans="2:18" ht="15" thickBot="1" x14ac:dyDescent="0.35"/>
    <row r="2" spans="2:18" x14ac:dyDescent="0.3">
      <c r="B2" s="13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5"/>
    </row>
    <row r="3" spans="2:18" ht="18" x14ac:dyDescent="0.35">
      <c r="B3" s="16"/>
      <c r="C3" s="34" t="s">
        <v>21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R3" s="17"/>
    </row>
    <row r="4" spans="2:18" x14ac:dyDescent="0.3">
      <c r="B4" s="16"/>
      <c r="R4" s="17"/>
    </row>
    <row r="5" spans="2:18" ht="15.6" x14ac:dyDescent="0.3">
      <c r="B5" s="16"/>
      <c r="C5" s="38" t="s">
        <v>12</v>
      </c>
      <c r="D5" s="38"/>
      <c r="F5" s="35" t="s">
        <v>13</v>
      </c>
      <c r="G5" s="35"/>
      <c r="I5" s="35" t="s">
        <v>18</v>
      </c>
      <c r="J5" s="35"/>
      <c r="L5" s="35" t="s">
        <v>19</v>
      </c>
      <c r="M5" s="35"/>
      <c r="O5" s="35" t="s">
        <v>20</v>
      </c>
      <c r="P5" s="35"/>
      <c r="R5" s="17"/>
    </row>
    <row r="6" spans="2:18" x14ac:dyDescent="0.3">
      <c r="B6" s="16"/>
      <c r="C6" s="39" cm="1">
        <f t="array" ref="C6">LOOKUP(2,1/(Calculations!C3:G3&lt;&gt;""),Calculations!C3:G3)</f>
        <v>7666.666666666667</v>
      </c>
      <c r="D6" s="39"/>
      <c r="F6" s="40" cm="1">
        <f t="array" ref="F6">LOOKUP(2,1/(Calculations!C4:G4&lt;&gt;""),Calculations!C4:G4)</f>
        <v>6000</v>
      </c>
      <c r="G6" s="40"/>
      <c r="I6" s="42" cm="1">
        <f t="array" ref="I6">LOOKUP(2,1/(Calculations!C5:G5&lt;&gt;""),Calculations!C5:G5)</f>
        <v>0.78260869565217384</v>
      </c>
      <c r="J6" s="42"/>
      <c r="L6" s="36" cm="1">
        <f t="array" ref="L6">LOOKUP(2,1/(Calculations!C6:G6&lt;&gt;""),Calculations!C6:G6)</f>
        <v>6.3888888888888893</v>
      </c>
      <c r="M6" s="36"/>
      <c r="O6" s="37" cm="1">
        <f t="array" ref="O6">LOOKUP(2,1/(Calculations!C7:G7&lt;&gt;""),Calculations!C7:G7)</f>
        <v>-1666.666666666667</v>
      </c>
      <c r="P6" s="37"/>
      <c r="R6" s="17"/>
    </row>
    <row r="7" spans="2:18" x14ac:dyDescent="0.3">
      <c r="B7" s="16"/>
      <c r="C7" s="39"/>
      <c r="D7" s="39"/>
      <c r="F7" s="40"/>
      <c r="G7" s="40"/>
      <c r="I7" s="42"/>
      <c r="J7" s="42"/>
      <c r="L7" s="36"/>
      <c r="M7" s="36"/>
      <c r="O7" s="37"/>
      <c r="P7" s="37"/>
      <c r="R7" s="17"/>
    </row>
    <row r="8" spans="2:18" x14ac:dyDescent="0.3">
      <c r="B8" s="16"/>
      <c r="I8" s="41"/>
      <c r="J8" s="41"/>
      <c r="L8" s="41"/>
      <c r="M8" s="41"/>
      <c r="O8" s="41"/>
      <c r="P8" s="41"/>
      <c r="R8" s="17"/>
    </row>
    <row r="9" spans="2:18" x14ac:dyDescent="0.3">
      <c r="B9" s="16"/>
      <c r="I9" s="41"/>
      <c r="J9" s="41"/>
      <c r="L9" s="41"/>
      <c r="M9" s="41"/>
      <c r="O9" s="41"/>
      <c r="P9" s="41"/>
      <c r="R9" s="17"/>
    </row>
    <row r="10" spans="2:18" x14ac:dyDescent="0.3">
      <c r="B10" s="16"/>
      <c r="I10" s="18"/>
      <c r="J10" s="18"/>
      <c r="L10" s="18"/>
      <c r="M10" s="18"/>
      <c r="O10" s="18"/>
      <c r="P10" s="18"/>
      <c r="R10" s="17"/>
    </row>
    <row r="11" spans="2:18" ht="18" x14ac:dyDescent="0.35">
      <c r="B11" s="16"/>
      <c r="H11" s="34" t="s">
        <v>22</v>
      </c>
      <c r="I11" s="34"/>
      <c r="J11" s="34"/>
      <c r="K11" s="34"/>
      <c r="L11" s="18"/>
      <c r="M11" s="18"/>
      <c r="O11" s="18"/>
      <c r="P11" s="18"/>
      <c r="R11" s="17"/>
    </row>
    <row r="12" spans="2:18" x14ac:dyDescent="0.3">
      <c r="B12" s="16"/>
      <c r="H12" s="49" t="str">
        <f>IF(I6&lt;1,"Not Viable",IF(I6&lt;3,"Needs Improvement","Healthy"))</f>
        <v>Not Viable</v>
      </c>
      <c r="I12" s="49"/>
      <c r="J12" s="49"/>
      <c r="K12" s="49"/>
      <c r="L12" s="18"/>
      <c r="M12" s="18"/>
      <c r="O12" s="18"/>
      <c r="P12" s="18"/>
      <c r="R12" s="17"/>
    </row>
    <row r="13" spans="2:18" x14ac:dyDescent="0.3">
      <c r="B13" s="16"/>
      <c r="H13" s="49"/>
      <c r="I13" s="49"/>
      <c r="J13" s="49"/>
      <c r="K13" s="49"/>
      <c r="L13" s="18"/>
      <c r="M13" s="18"/>
      <c r="O13" s="18"/>
      <c r="P13" s="18"/>
      <c r="R13" s="17"/>
    </row>
    <row r="14" spans="2:18" x14ac:dyDescent="0.3">
      <c r="B14" s="16"/>
      <c r="H14" s="46" t="str">
        <f>IF(H12="Not Viable","Losing money per customer",IF(H12="Needs Improvement","Unit economics need optimization","Strong unit economics, ready to scale"))</f>
        <v>Losing money per customer</v>
      </c>
      <c r="I14" s="47"/>
      <c r="J14" s="47"/>
      <c r="K14" s="48"/>
      <c r="L14" s="18"/>
      <c r="M14" s="18"/>
      <c r="O14" s="18"/>
      <c r="P14" s="18"/>
      <c r="R14" s="17"/>
    </row>
    <row r="15" spans="2:18" x14ac:dyDescent="0.3">
      <c r="B15" s="16"/>
      <c r="I15" s="18"/>
      <c r="J15" s="18"/>
      <c r="L15" s="18"/>
      <c r="M15" s="18"/>
      <c r="O15" s="18"/>
      <c r="P15" s="18"/>
      <c r="R15" s="17"/>
    </row>
    <row r="16" spans="2:18" x14ac:dyDescent="0.3">
      <c r="B16" s="16"/>
      <c r="I16" s="18"/>
      <c r="J16" s="18"/>
      <c r="L16" s="18"/>
      <c r="M16" s="18"/>
      <c r="O16" s="18"/>
      <c r="P16" s="18"/>
      <c r="R16" s="17"/>
    </row>
    <row r="17" spans="2:18" x14ac:dyDescent="0.3">
      <c r="B17" s="16"/>
      <c r="I17" s="18"/>
      <c r="J17" s="18"/>
      <c r="K17" s="50" t="s">
        <v>17</v>
      </c>
      <c r="L17" s="50"/>
      <c r="M17" s="10">
        <v>3</v>
      </c>
      <c r="N17" s="18"/>
      <c r="O17" s="18"/>
      <c r="R17" s="17"/>
    </row>
    <row r="18" spans="2:18" x14ac:dyDescent="0.3">
      <c r="B18" s="16"/>
      <c r="R18" s="17"/>
    </row>
    <row r="19" spans="2:18" x14ac:dyDescent="0.3">
      <c r="B19" s="16"/>
      <c r="R19" s="17"/>
    </row>
    <row r="20" spans="2:18" x14ac:dyDescent="0.3">
      <c r="B20" s="16"/>
      <c r="R20" s="17"/>
    </row>
    <row r="21" spans="2:18" x14ac:dyDescent="0.3">
      <c r="B21" s="16"/>
      <c r="R21" s="17"/>
    </row>
    <row r="22" spans="2:18" x14ac:dyDescent="0.3">
      <c r="B22" s="16"/>
      <c r="R22" s="17"/>
    </row>
    <row r="23" spans="2:18" x14ac:dyDescent="0.3">
      <c r="B23" s="16"/>
      <c r="R23" s="17"/>
    </row>
    <row r="24" spans="2:18" x14ac:dyDescent="0.3">
      <c r="B24" s="16"/>
      <c r="R24" s="17"/>
    </row>
    <row r="25" spans="2:18" x14ac:dyDescent="0.3">
      <c r="B25" s="16"/>
      <c r="R25" s="17"/>
    </row>
    <row r="26" spans="2:18" x14ac:dyDescent="0.3">
      <c r="B26" s="16"/>
      <c r="R26" s="17"/>
    </row>
    <row r="27" spans="2:18" x14ac:dyDescent="0.3">
      <c r="B27" s="16"/>
      <c r="R27" s="17"/>
    </row>
    <row r="28" spans="2:18" x14ac:dyDescent="0.3">
      <c r="B28" s="16"/>
      <c r="R28" s="17"/>
    </row>
    <row r="29" spans="2:18" x14ac:dyDescent="0.3">
      <c r="B29" s="16"/>
      <c r="R29" s="17"/>
    </row>
    <row r="30" spans="2:18" x14ac:dyDescent="0.3">
      <c r="B30" s="16"/>
      <c r="R30" s="17"/>
    </row>
    <row r="31" spans="2:18" x14ac:dyDescent="0.3">
      <c r="B31" s="16"/>
      <c r="R31" s="17"/>
    </row>
    <row r="32" spans="2:18" x14ac:dyDescent="0.3">
      <c r="B32" s="16"/>
      <c r="R32" s="17"/>
    </row>
    <row r="33" spans="2:31" x14ac:dyDescent="0.3">
      <c r="B33" s="16"/>
      <c r="R33" s="17"/>
    </row>
    <row r="34" spans="2:31" x14ac:dyDescent="0.3">
      <c r="B34" s="16"/>
      <c r="R34" s="17"/>
    </row>
    <row r="35" spans="2:31" x14ac:dyDescent="0.3">
      <c r="B35" s="16"/>
      <c r="R35" s="17"/>
    </row>
    <row r="36" spans="2:31" ht="18" x14ac:dyDescent="0.35">
      <c r="B36" s="16"/>
      <c r="H36" s="34" t="s">
        <v>23</v>
      </c>
      <c r="I36" s="34"/>
      <c r="J36" s="34"/>
      <c r="K36" s="34"/>
      <c r="R36" s="17"/>
    </row>
    <row r="37" spans="2:31" x14ac:dyDescent="0.3">
      <c r="B37" s="16"/>
      <c r="R37" s="17"/>
    </row>
    <row r="38" spans="2:31" x14ac:dyDescent="0.3">
      <c r="B38" s="16"/>
      <c r="H38" s="43" t="str">
        <f>IF(F6&gt;C6,"CLTV exceeds CAC → profitable","CAC too high vs CLTV")</f>
        <v>CAC too high vs CLTV</v>
      </c>
      <c r="I38" s="44"/>
      <c r="J38" s="44"/>
      <c r="K38" s="45"/>
      <c r="R38" s="17"/>
      <c r="AE38" cm="1">
        <f t="array" ref="AE38">INDEX(Calculations!C5:G5,MATCH(2,1/(Calculations!C5:G5&lt;&gt;""),1)-1)</f>
        <v>0.71875</v>
      </c>
    </row>
    <row r="39" spans="2:31" x14ac:dyDescent="0.3">
      <c r="B39" s="16"/>
      <c r="H39" s="43" t="str">
        <f>IF(I6&gt;AE38,"Efficiency improving","Efficiency declining")</f>
        <v>Efficiency improving</v>
      </c>
      <c r="I39" s="44"/>
      <c r="J39" s="44"/>
      <c r="K39" s="45"/>
      <c r="R39" s="17"/>
      <c r="AE39" cm="1">
        <f t="array" ref="AE39">INDEX(Calculations!C6:G6,MATCH(2,1/(Calculations!C6:G6&lt;&gt;""),1)-1)</f>
        <v>7.950310559006212</v>
      </c>
    </row>
    <row r="40" spans="2:31" x14ac:dyDescent="0.3">
      <c r="B40" s="16"/>
      <c r="H40" s="43" t="str">
        <f>IF(L6&lt;AE39,"Faster cost recovery","Slower payback period")</f>
        <v>Faster cost recovery</v>
      </c>
      <c r="I40" s="44"/>
      <c r="J40" s="44"/>
      <c r="K40" s="45"/>
      <c r="R40" s="17"/>
    </row>
    <row r="41" spans="2:31" x14ac:dyDescent="0.3">
      <c r="B41" s="16"/>
      <c r="R41" s="17"/>
    </row>
    <row r="42" spans="2:31" ht="15" thickBot="1" x14ac:dyDescent="0.35">
      <c r="B42" s="19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1"/>
    </row>
  </sheetData>
  <mergeCells count="22">
    <mergeCell ref="L8:M9"/>
    <mergeCell ref="O8:P9"/>
    <mergeCell ref="K17:L17"/>
    <mergeCell ref="I8:J9"/>
    <mergeCell ref="I5:J5"/>
    <mergeCell ref="I6:J7"/>
    <mergeCell ref="H36:K36"/>
    <mergeCell ref="H40:K40"/>
    <mergeCell ref="H39:K39"/>
    <mergeCell ref="H38:K38"/>
    <mergeCell ref="H11:K11"/>
    <mergeCell ref="H14:K14"/>
    <mergeCell ref="H12:K13"/>
    <mergeCell ref="C3:P3"/>
    <mergeCell ref="L5:M5"/>
    <mergeCell ref="L6:M7"/>
    <mergeCell ref="O5:P5"/>
    <mergeCell ref="O6:P7"/>
    <mergeCell ref="C5:D5"/>
    <mergeCell ref="C6:D7"/>
    <mergeCell ref="F5:G5"/>
    <mergeCell ref="F6:G7"/>
  </mergeCells>
  <conditionalFormatting sqref="H12:K13">
    <cfRule type="cellIs" dxfId="2" priority="1" operator="equal">
      <formula>"Healthy"</formula>
    </cfRule>
    <cfRule type="cellIs" dxfId="1" priority="2" operator="equal">
      <formula>"Needs Improvement"</formula>
    </cfRule>
    <cfRule type="cellIs" dxfId="0" priority="3" operator="equal">
      <formula>"Not Viable"</formula>
    </cfRule>
  </conditionalFormatting>
  <conditionalFormatting sqref="I8:J10 I15:J17">
    <cfRule type="iconSet" priority="12">
      <iconSet iconSet="3Symbols2" showValue="0">
        <cfvo type="percent" val="0"/>
        <cfvo type="num" val="1"/>
        <cfvo type="num" val="3"/>
      </iconSet>
    </cfRule>
  </conditionalFormatting>
  <conditionalFormatting sqref="L8:M16">
    <cfRule type="iconSet" priority="14">
      <iconSet iconSet="3Symbols2" showValue="0" reverse="1">
        <cfvo type="percent" val="0"/>
        <cfvo type="num" val="6"/>
        <cfvo type="num" val="12"/>
      </iconSet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6" id="{0C496080-6829-46E2-9F95-5A82A1C15BA7}">
            <x14:iconSet iconSet="3Symbols2" showValue="0" custom="1">
              <x14:cfvo type="percent">
                <xm:f>0</xm:f>
              </x14:cfvo>
              <x14:cfvo type="num">
                <xm:f>1</xm:f>
              </x14:cfvo>
              <x14:cfvo type="num">
                <xm:f>1</xm:f>
              </x14:cfvo>
              <x14:cfIcon iconSet="3Symbols2" iconId="0"/>
              <x14:cfIcon iconSet="3Symbols2" iconId="2"/>
              <x14:cfIcon iconSet="3Symbols2" iconId="2"/>
            </x14:iconSet>
          </x14:cfRule>
          <xm:sqref>O8:P16 N17:O17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79998168889431442"/>
  </sheetPr>
  <dimension ref="B2:G9"/>
  <sheetViews>
    <sheetView showGridLines="0" zoomScale="115" zoomScaleNormal="115" workbookViewId="0">
      <selection activeCell="C7" sqref="C7"/>
    </sheetView>
  </sheetViews>
  <sheetFormatPr defaultRowHeight="14.4" x14ac:dyDescent="0.3"/>
  <cols>
    <col min="1" max="1" width="1.77734375" customWidth="1"/>
    <col min="2" max="2" width="26.21875" style="1" customWidth="1"/>
    <col min="3" max="5" width="15.77734375" style="2" customWidth="1"/>
    <col min="6" max="7" width="15.77734375" customWidth="1"/>
  </cols>
  <sheetData>
    <row r="2" spans="2:7" x14ac:dyDescent="0.3"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16</v>
      </c>
    </row>
    <row r="3" spans="2:7" x14ac:dyDescent="0.3">
      <c r="B3" s="3" t="s">
        <v>5</v>
      </c>
      <c r="C3" s="22">
        <v>1000000</v>
      </c>
      <c r="D3" s="22">
        <v>1250000</v>
      </c>
      <c r="E3" s="22">
        <v>1500000</v>
      </c>
      <c r="F3" s="22">
        <v>1750000</v>
      </c>
      <c r="G3" s="22">
        <v>2000000</v>
      </c>
    </row>
    <row r="4" spans="2:7" x14ac:dyDescent="0.3">
      <c r="B4" s="3" t="s">
        <v>6</v>
      </c>
      <c r="C4" s="22">
        <v>100000</v>
      </c>
      <c r="D4" s="22">
        <v>150000</v>
      </c>
      <c r="E4" s="22">
        <v>200000</v>
      </c>
      <c r="F4" s="22">
        <v>250000</v>
      </c>
      <c r="G4" s="22">
        <v>300000</v>
      </c>
    </row>
    <row r="5" spans="2:7" x14ac:dyDescent="0.3">
      <c r="B5" s="3" t="s">
        <v>7</v>
      </c>
      <c r="C5" s="22">
        <v>100</v>
      </c>
      <c r="D5" s="22">
        <v>150</v>
      </c>
      <c r="E5" s="22">
        <v>200</v>
      </c>
      <c r="F5" s="22">
        <v>250</v>
      </c>
      <c r="G5" s="22">
        <v>300</v>
      </c>
    </row>
    <row r="6" spans="2:7" x14ac:dyDescent="0.3">
      <c r="B6" s="3" t="s">
        <v>8</v>
      </c>
      <c r="C6" s="23">
        <v>1000</v>
      </c>
      <c r="D6" s="23">
        <v>1250</v>
      </c>
      <c r="E6" s="23">
        <v>1500</v>
      </c>
      <c r="F6" s="23">
        <v>1750</v>
      </c>
      <c r="G6" s="23">
        <v>2000</v>
      </c>
    </row>
    <row r="7" spans="2:7" x14ac:dyDescent="0.3">
      <c r="B7" s="3" t="s">
        <v>9</v>
      </c>
      <c r="C7" s="24">
        <v>0.5</v>
      </c>
      <c r="D7" s="24">
        <v>0.52500000000000002</v>
      </c>
      <c r="E7" s="24">
        <v>0.55000000000000004</v>
      </c>
      <c r="F7" s="24">
        <v>0.57499999999999996</v>
      </c>
      <c r="G7" s="24">
        <v>0.6</v>
      </c>
    </row>
    <row r="8" spans="2:7" x14ac:dyDescent="0.3">
      <c r="B8" s="3" t="s">
        <v>10</v>
      </c>
      <c r="C8" s="25">
        <v>1</v>
      </c>
      <c r="D8" s="25">
        <v>1.25</v>
      </c>
      <c r="E8" s="25">
        <v>1.5</v>
      </c>
      <c r="F8" s="25">
        <v>1.75</v>
      </c>
      <c r="G8" s="25">
        <v>2</v>
      </c>
    </row>
    <row r="9" spans="2:7" x14ac:dyDescent="0.3">
      <c r="B9" s="3" t="s">
        <v>11</v>
      </c>
      <c r="C9" s="24">
        <v>0.1</v>
      </c>
      <c r="D9" s="24">
        <v>0.125</v>
      </c>
      <c r="E9" s="24">
        <v>0.15</v>
      </c>
      <c r="F9" s="24">
        <v>0.17499999999999999</v>
      </c>
      <c r="G9" s="24">
        <v>0.2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DA7AF-14E2-4650-8AEC-8BEE44CBE610}">
  <sheetPr>
    <tabColor theme="4" tint="0.79998168889431442"/>
  </sheetPr>
  <dimension ref="B2:G7"/>
  <sheetViews>
    <sheetView showGridLines="0" zoomScale="115" zoomScaleNormal="115" workbookViewId="0">
      <selection activeCell="F6" sqref="F6"/>
    </sheetView>
  </sheetViews>
  <sheetFormatPr defaultRowHeight="14.4" x14ac:dyDescent="0.3"/>
  <cols>
    <col min="1" max="1" width="1.77734375" customWidth="1"/>
    <col min="2" max="2" width="27.88671875" style="1" bestFit="1" customWidth="1"/>
    <col min="3" max="7" width="15.77734375" style="2" customWidth="1"/>
  </cols>
  <sheetData>
    <row r="2" spans="2:7" x14ac:dyDescent="0.3">
      <c r="B2" s="6" t="s">
        <v>0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16</v>
      </c>
    </row>
    <row r="3" spans="2:7" x14ac:dyDescent="0.3">
      <c r="B3" s="8" t="s">
        <v>53</v>
      </c>
      <c r="C3" s="26">
        <f>SUM(Inputs!C3:C4)/Inputs!C5</f>
        <v>11000</v>
      </c>
      <c r="D3" s="26">
        <f>SUM(Inputs!D3:D4)/Inputs!D5</f>
        <v>9333.3333333333339</v>
      </c>
      <c r="E3" s="26">
        <f>SUM(Inputs!E3:E4)/Inputs!E5</f>
        <v>8500</v>
      </c>
      <c r="F3" s="26">
        <f>SUM(Inputs!F3:F4)/Inputs!F5</f>
        <v>8000</v>
      </c>
      <c r="G3" s="26">
        <f>SUM(Inputs!G3:G4)/Inputs!G5</f>
        <v>7666.666666666667</v>
      </c>
    </row>
    <row r="4" spans="2:7" x14ac:dyDescent="0.3">
      <c r="B4" s="8" t="s">
        <v>54</v>
      </c>
      <c r="C4" s="26">
        <f>(Inputs!C6*Inputs!C7)/Inputs!C9</f>
        <v>5000</v>
      </c>
      <c r="D4" s="26">
        <f>(Inputs!D6*Inputs!D7)/Inputs!D9</f>
        <v>5250</v>
      </c>
      <c r="E4" s="26">
        <f>(Inputs!E6*Inputs!E7)/Inputs!E9</f>
        <v>5500.0000000000009</v>
      </c>
      <c r="F4" s="26">
        <f>(Inputs!F6*Inputs!F7)/Inputs!F9</f>
        <v>5750</v>
      </c>
      <c r="G4" s="26">
        <f>(Inputs!G6*Inputs!G7)/Inputs!G9</f>
        <v>6000</v>
      </c>
    </row>
    <row r="5" spans="2:7" x14ac:dyDescent="0.3">
      <c r="B5" s="8" t="s">
        <v>14</v>
      </c>
      <c r="C5" s="27">
        <f>C4/C3</f>
        <v>0.45454545454545453</v>
      </c>
      <c r="D5" s="27">
        <f t="shared" ref="D5:E5" si="0">D4/D3</f>
        <v>0.5625</v>
      </c>
      <c r="E5" s="27">
        <f t="shared" si="0"/>
        <v>0.64705882352941191</v>
      </c>
      <c r="F5" s="27">
        <f t="shared" ref="F5" si="1">F4/F3</f>
        <v>0.71875</v>
      </c>
      <c r="G5" s="27">
        <f t="shared" ref="G5" si="2">G4/G3</f>
        <v>0.78260869565217384</v>
      </c>
    </row>
    <row r="6" spans="2:7" x14ac:dyDescent="0.3">
      <c r="B6" s="8" t="s">
        <v>52</v>
      </c>
      <c r="C6" s="28">
        <f>C3/(Inputs!C6*Inputs!C7)</f>
        <v>22</v>
      </c>
      <c r="D6" s="28">
        <f>D3/(Inputs!D6*Inputs!D7)</f>
        <v>14.222222222222223</v>
      </c>
      <c r="E6" s="28">
        <f>E3/(Inputs!E6*Inputs!E7)</f>
        <v>10.303030303030301</v>
      </c>
      <c r="F6" s="28">
        <f>F3/(Inputs!F6*Inputs!F7)</f>
        <v>7.950310559006212</v>
      </c>
      <c r="G6" s="28">
        <f>G3/(Inputs!G6*Inputs!G7)</f>
        <v>6.3888888888888893</v>
      </c>
    </row>
    <row r="7" spans="2:7" x14ac:dyDescent="0.3">
      <c r="B7" s="8" t="s">
        <v>15</v>
      </c>
      <c r="C7" s="29">
        <f>C4-C3</f>
        <v>-6000</v>
      </c>
      <c r="D7" s="29">
        <f t="shared" ref="D7:E7" si="3">D4-D3</f>
        <v>-4083.3333333333339</v>
      </c>
      <c r="E7" s="29">
        <f t="shared" si="3"/>
        <v>-2999.9999999999991</v>
      </c>
      <c r="F7" s="29">
        <f t="shared" ref="F7:G7" si="4">F4-F3</f>
        <v>-2250</v>
      </c>
      <c r="G7" s="29">
        <f t="shared" si="4"/>
        <v>-1666.666666666667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Dashboard</vt:lpstr>
      <vt:lpstr>Inputs</vt:lpstr>
      <vt:lpstr>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Asif Shukoor</dc:creator>
  <cp:lastModifiedBy>Asif Shukoor</cp:lastModifiedBy>
  <dcterms:created xsi:type="dcterms:W3CDTF">2015-06-05T18:17:20Z</dcterms:created>
  <dcterms:modified xsi:type="dcterms:W3CDTF">2026-06-23T18:15:08Z</dcterms:modified>
</cp:coreProperties>
</file>