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ifa\OneDrive\Documents\My Docs\GHC Growth Lab\Research &amp; Additional Docs\Community Engagement\Templates\Startup Valuation Templates\With GHC Watermark\"/>
    </mc:Choice>
  </mc:AlternateContent>
  <xr:revisionPtr revIDLastSave="0" documentId="13_ncr:1_{A4004A6C-7925-4534-B4BF-0083FE08756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Instructions - RFS" sheetId="2" r:id="rId1"/>
    <sheet name="RFS Valuation" sheetId="1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2" i="1" l="1"/>
  <c r="D21" i="1"/>
  <c r="D20" i="1"/>
  <c r="D19" i="1"/>
  <c r="D18" i="1"/>
  <c r="D17" i="1"/>
  <c r="D16" i="1"/>
  <c r="D15" i="1"/>
  <c r="D14" i="1"/>
  <c r="D13" i="1"/>
  <c r="D12" i="1"/>
  <c r="D11" i="1"/>
  <c r="D23" i="1" l="1"/>
  <c r="D2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" authorId="0" shapeId="0" xr:uid="{00000000-0006-0000-0000-000001000000}">
      <text>
        <r>
          <rPr>
            <sz val="10"/>
            <rFont val="Arial"/>
            <family val="2"/>
          </rPr>
          <t>Average pre-money valuation of comparable pre-revenue startups in your city/industry.</t>
        </r>
      </text>
    </comment>
    <comment ref="C8" authorId="0" shapeId="0" xr:uid="{00000000-0006-0000-0000-000002000000}">
      <text>
        <r>
          <rPr>
            <sz val="10"/>
            <rFont val="Arial"/>
            <family val="2"/>
          </rPr>
          <t>Amount by which valuation changes for each +1 or -1 risk rating point (e.g., ₹20 lakh per point).</t>
        </r>
      </text>
    </comment>
  </commentList>
</comments>
</file>

<file path=xl/sharedStrings.xml><?xml version="1.0" encoding="utf-8"?>
<sst xmlns="http://schemas.openxmlformats.org/spreadsheetml/2006/main" count="66" uniqueCount="63">
  <si>
    <t>Risk Factor Summation Method</t>
  </si>
  <si>
    <t xml:space="preserve">  Setup</t>
  </si>
  <si>
    <t>Company name</t>
  </si>
  <si>
    <t>Base pre-money valuation</t>
  </si>
  <si>
    <t>Adjustment per rating point</t>
  </si>
  <si>
    <t>Risk Factor</t>
  </si>
  <si>
    <t>Rating</t>
  </si>
  <si>
    <t>Adjustment</t>
  </si>
  <si>
    <t>Management Risk</t>
  </si>
  <si>
    <t>Stage of the Business</t>
  </si>
  <si>
    <t>Legislation / Political Risk</t>
  </si>
  <si>
    <t>Manufacturing / Supply Chain Risk</t>
  </si>
  <si>
    <t>Sales &amp; Marketing Risk</t>
  </si>
  <si>
    <t>Funding / Capital Raising Risk</t>
  </si>
  <si>
    <t>Competition Risk</t>
  </si>
  <si>
    <t>Technology Risk</t>
  </si>
  <si>
    <t>Litigation Risk</t>
  </si>
  <si>
    <t>International Risk</t>
  </si>
  <si>
    <t>Reputation Risk</t>
  </si>
  <si>
    <t>Exit Value Risk</t>
  </si>
  <si>
    <t xml:space="preserve">Net Adjustment (Σ)   </t>
  </si>
  <si>
    <t xml:space="preserve">Pre-Money Valuation   </t>
  </si>
  <si>
    <t xml:space="preserve">  Rating scale</t>
  </si>
  <si>
    <t>+2</t>
  </si>
  <si>
    <t>Extremely positive — risk very well mitigated</t>
  </si>
  <si>
    <t>+1</t>
  </si>
  <si>
    <t>Positive — risk mitigated</t>
  </si>
  <si>
    <t>0</t>
  </si>
  <si>
    <t>Neutral — no effect</t>
  </si>
  <si>
    <t>-1</t>
  </si>
  <si>
    <t>Negative — adds risk</t>
  </si>
  <si>
    <t>-2</t>
  </si>
  <si>
    <t>Extremely negative — major risk</t>
  </si>
  <si>
    <t>Blue cells are inputs. Each adjustment = rating × dollars-per-point; the net of all 12 is added to the base valuation. Best used alongside two or three other methods.</t>
  </si>
  <si>
    <t xml:space="preserve">Adjusts a base valuation across 12 risk factors rated from -2 to +2 </t>
  </si>
  <si>
    <t>Best used alongside two or three other valuation methods.</t>
  </si>
  <si>
    <t>Combine methods</t>
  </si>
  <si>
    <t>Choose a defensible regional comparable for the base valuation.</t>
  </si>
  <si>
    <t>Anchor the base well</t>
  </si>
  <si>
    <t>Match each rating (-2 to +2) to the descriptions in the rating scale.</t>
  </si>
  <si>
    <t>Use the rating scale</t>
  </si>
  <si>
    <t>Score only input cells</t>
  </si>
  <si>
    <t>Description</t>
  </si>
  <si>
    <t>Guideline</t>
  </si>
  <si>
    <t>Important Guidelines</t>
  </si>
  <si>
    <t>Sum of all 12 factor adjustments, added to the base valuation.</t>
  </si>
  <si>
    <t>Net Adjustment (Σ)</t>
  </si>
  <si>
    <t>Your score for each risk factor; positive reduces risk, negative adds it.</t>
  </si>
  <si>
    <t>Rating (-2 to +2)</t>
  </si>
  <si>
    <t>Dollar value added or subtracted for each rating point (e.g. $250K per point).</t>
  </si>
  <si>
    <t>Starting valuation, typically a regional comparable, before risk adjustments.</t>
  </si>
  <si>
    <t>Input</t>
  </si>
  <si>
    <t>What Each Input Means</t>
  </si>
  <si>
    <t>Read the resulting Pre-Money Valuation at the bottom of the table</t>
  </si>
  <si>
    <t>Rate each of the 12 risk factors from -2 to +2 using the rating scale</t>
  </si>
  <si>
    <t>Go to the “RFS Valuation” sheet</t>
  </si>
  <si>
    <t>Details</t>
  </si>
  <si>
    <t>Steps</t>
  </si>
  <si>
    <t>Step-by-Step Instructions</t>
  </si>
  <si>
    <t>ABC Pvt Ltd</t>
  </si>
  <si>
    <t>Enter your company name, base pre-money valuation, and adjustment per rating point (light green cells)</t>
  </si>
  <si>
    <t>Enter ratings only in the highlighted light green cells; do not edit formulas.</t>
  </si>
  <si>
    <t>The adjustment for each factor calculates automatically (rating × Adjustment per rating point)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</si>
</sst>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&quot;(&quot;#,##0\);&quot;  -&quot;"/>
  </numFmts>
  <fonts count="1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0"/>
      <color rgb="FF2E5E4E"/>
      <name val="Arial"/>
      <family val="2"/>
    </font>
    <font>
      <b/>
      <sz val="11"/>
      <color rgb="FFFFFFFF"/>
      <name val="Arial"/>
      <family val="2"/>
    </font>
    <font>
      <b/>
      <sz val="11"/>
      <color rgb="FF1A2233"/>
      <name val="Arial"/>
      <family val="2"/>
    </font>
    <font>
      <sz val="11"/>
      <color rgb="FF1A2233"/>
      <name val="Arial"/>
      <family val="2"/>
    </font>
    <font>
      <b/>
      <sz val="12"/>
      <color rgb="FFFFFFFF"/>
      <name val="Arial"/>
      <family val="2"/>
    </font>
    <font>
      <b/>
      <sz val="11"/>
      <color rgb="FF1E7A46"/>
      <name val="Arial"/>
      <family val="2"/>
    </font>
    <font>
      <sz val="10"/>
      <color rgb="FF44505E"/>
      <name val="Arial"/>
      <family val="2"/>
    </font>
    <font>
      <b/>
      <sz val="11"/>
      <color rgb="FFC0392B"/>
      <name val="Arial"/>
      <family val="2"/>
    </font>
    <font>
      <sz val="10"/>
      <color rgb="FF6B7480"/>
      <name val="Arial"/>
      <family val="2"/>
    </font>
    <font>
      <sz val="9"/>
      <color rgb="FF9AA3AD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4"/>
      <color theme="1"/>
      <name val="Calibri"/>
      <family val="2"/>
    </font>
    <font>
      <sz val="11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5E4E"/>
        <bgColor rgb="FF44505E"/>
      </patternFill>
    </fill>
    <fill>
      <patternFill patternType="solid">
        <fgColor rgb="FFE7F0EB"/>
        <bgColor rgb="FFF4F6F8"/>
      </patternFill>
    </fill>
    <fill>
      <patternFill patternType="solid">
        <fgColor rgb="FFF4F6F8"/>
        <bgColor rgb="FFFFFFFF"/>
      </patternFill>
    </fill>
    <fill>
      <patternFill patternType="solid">
        <fgColor rgb="FFFFFFFF"/>
        <bgColor rgb="FFF4F6F8"/>
      </patternFill>
    </fill>
    <fill>
      <patternFill patternType="solid">
        <fgColor theme="4" tint="-0.499984740745262"/>
        <bgColor rgb="FF333399"/>
      </patternFill>
    </fill>
  </fills>
  <borders count="11">
    <border>
      <left/>
      <right/>
      <top/>
      <bottom/>
      <diagonal/>
    </border>
    <border>
      <left style="thin">
        <color rgb="FFD7DCE2"/>
      </left>
      <right/>
      <top style="thin">
        <color rgb="FFD7DCE2"/>
      </top>
      <bottom style="thin">
        <color rgb="FFD7DCE2"/>
      </bottom>
      <diagonal/>
    </border>
    <border>
      <left style="thin">
        <color rgb="FFD7DCE2"/>
      </left>
      <right style="thin">
        <color rgb="FFD7DCE2"/>
      </right>
      <top style="thin">
        <color rgb="FFD7DCE2"/>
      </top>
      <bottom style="thin">
        <color rgb="FFD7DCE2"/>
      </bottom>
      <diagonal/>
    </border>
    <border>
      <left style="medium">
        <color rgb="FF2E5E4E"/>
      </left>
      <right style="medium">
        <color rgb="FF2E5E4E"/>
      </right>
      <top style="medium">
        <color rgb="FF2E5E4E"/>
      </top>
      <bottom style="medium">
        <color rgb="FF2E5E4E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rgb="FFD7DCE2"/>
      </left>
      <right/>
      <top style="thin">
        <color rgb="FFD7DCE2"/>
      </top>
      <bottom/>
      <diagonal/>
    </border>
    <border>
      <left/>
      <right/>
      <top style="thin">
        <color rgb="FFD7DCE2"/>
      </top>
      <bottom/>
      <diagonal/>
    </border>
    <border>
      <left style="thin">
        <color rgb="FFD7DCE2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4" fillId="0" borderId="0" xfId="0" applyFont="1"/>
    <xf numFmtId="0" fontId="12" fillId="0" borderId="4" xfId="0" applyFont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3" fillId="6" borderId="7" xfId="0" applyFont="1" applyFill="1" applyBorder="1" applyAlignment="1">
      <alignment horizontal="center"/>
    </xf>
    <xf numFmtId="0" fontId="13" fillId="6" borderId="6" xfId="0" applyFont="1" applyFill="1" applyBorder="1" applyAlignment="1">
      <alignment horizontal="center"/>
    </xf>
    <xf numFmtId="0" fontId="13" fillId="6" borderId="5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left" vertical="center"/>
    </xf>
    <xf numFmtId="0" fontId="12" fillId="0" borderId="4" xfId="0" applyFont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right" vertical="center"/>
    </xf>
    <xf numFmtId="3" fontId="6" fillId="2" borderId="3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64" fontId="5" fillId="0" borderId="2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164" fontId="3" fillId="2" borderId="3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3" fontId="15" fillId="3" borderId="10" xfId="0" applyNumberFormat="1" applyFont="1" applyFill="1" applyBorder="1" applyAlignment="1">
      <alignment horizontal="center" vertical="center"/>
    </xf>
    <xf numFmtId="3" fontId="15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3" fontId="15" fillId="3" borderId="8" xfId="0" applyNumberFormat="1" applyFont="1" applyFill="1" applyBorder="1" applyAlignment="1">
      <alignment horizontal="center" vertical="center"/>
    </xf>
    <xf numFmtId="3" fontId="15" fillId="3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C0392B"/>
        <name val="Arial"/>
        <charset val="1"/>
      </font>
    </dxf>
    <dxf>
      <font>
        <color rgb="FF1E7A46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46"/>
      <rgbColor rgb="FFC0C0C0"/>
      <rgbColor rgb="FF808080"/>
      <rgbColor rgb="FF9999FF"/>
      <rgbColor rgb="FF993366"/>
      <rgbColor rgb="FFF4F6F8"/>
      <rgbColor rgb="FFE7F0EB"/>
      <rgbColor rgb="FF660066"/>
      <rgbColor rgb="FFFF8080"/>
      <rgbColor rgb="FF0066CC"/>
      <rgbColor rgb="FFD7DCE2"/>
      <rgbColor rgb="FF000080"/>
      <rgbColor rgb="FFFF00FF"/>
      <rgbColor rgb="FFFFFF00"/>
      <rgbColor rgb="FF00FFFF"/>
      <rgbColor rgb="FF800080"/>
      <rgbColor rgb="FF800000"/>
      <rgbColor rgb="FF2E5E4E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480"/>
      <rgbColor rgb="FF9AA3AD"/>
      <rgbColor rgb="FF003366"/>
      <rgbColor rgb="FF339966"/>
      <rgbColor rgb="FF003300"/>
      <rgbColor rgb="FF333300"/>
      <rgbColor rgb="FFC0392B"/>
      <rgbColor rgb="FF993366"/>
      <rgbColor rgb="FF44505E"/>
      <rgbColor rgb="FF1A22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6AE8-7E29-7742-8F51-DE2CD5A84EFB}">
  <sheetPr>
    <tabColor rgb="FFBFBFBF"/>
  </sheetPr>
  <dimension ref="B2:L27"/>
  <sheetViews>
    <sheetView showGridLines="0" tabSelected="1" zoomScaleNormal="100" workbookViewId="0">
      <selection activeCell="G12" sqref="G12"/>
    </sheetView>
  </sheetViews>
  <sheetFormatPr defaultColWidth="8.6640625" defaultRowHeight="14.4" x14ac:dyDescent="0.3"/>
  <cols>
    <col min="1" max="1" width="1.77734375" customWidth="1"/>
    <col min="2" max="2" width="9.109375" customWidth="1"/>
    <col min="3" max="3" width="10.44140625" customWidth="1"/>
    <col min="5" max="5" width="10.44140625" customWidth="1"/>
    <col min="9" max="9" width="31" customWidth="1"/>
  </cols>
  <sheetData>
    <row r="2" spans="2:12" ht="18.75" customHeight="1" x14ac:dyDescent="0.35">
      <c r="B2" s="11" t="s">
        <v>58</v>
      </c>
    </row>
    <row r="4" spans="2:12" x14ac:dyDescent="0.3">
      <c r="B4" s="13" t="s">
        <v>57</v>
      </c>
      <c r="C4" s="16" t="s">
        <v>56</v>
      </c>
      <c r="D4" s="17"/>
      <c r="E4" s="17"/>
      <c r="F4" s="17"/>
      <c r="G4" s="17"/>
      <c r="H4" s="17"/>
      <c r="I4" s="18"/>
    </row>
    <row r="5" spans="2:12" x14ac:dyDescent="0.3">
      <c r="B5" s="12">
        <v>1</v>
      </c>
      <c r="C5" s="20" t="s">
        <v>55</v>
      </c>
      <c r="D5" s="20"/>
      <c r="E5" s="20"/>
      <c r="F5" s="20"/>
      <c r="G5" s="20"/>
      <c r="H5" s="20"/>
      <c r="I5" s="20"/>
    </row>
    <row r="6" spans="2:12" x14ac:dyDescent="0.3">
      <c r="B6" s="12">
        <v>2</v>
      </c>
      <c r="C6" s="20" t="s">
        <v>60</v>
      </c>
      <c r="D6" s="20"/>
      <c r="E6" s="20"/>
      <c r="F6" s="20"/>
      <c r="G6" s="20"/>
      <c r="H6" s="20"/>
      <c r="I6" s="20"/>
    </row>
    <row r="7" spans="2:12" x14ac:dyDescent="0.3">
      <c r="B7" s="12">
        <v>3</v>
      </c>
      <c r="C7" s="20" t="s">
        <v>54</v>
      </c>
      <c r="D7" s="20"/>
      <c r="E7" s="20"/>
      <c r="F7" s="20"/>
      <c r="G7" s="20"/>
      <c r="H7" s="20"/>
      <c r="I7" s="20"/>
    </row>
    <row r="8" spans="2:12" x14ac:dyDescent="0.3">
      <c r="B8" s="12">
        <v>4</v>
      </c>
      <c r="C8" s="20" t="s">
        <v>62</v>
      </c>
      <c r="D8" s="20"/>
      <c r="E8" s="20"/>
      <c r="F8" s="20"/>
      <c r="G8" s="20"/>
      <c r="H8" s="20"/>
      <c r="I8" s="20"/>
    </row>
    <row r="9" spans="2:12" x14ac:dyDescent="0.3">
      <c r="B9" s="12">
        <v>5</v>
      </c>
      <c r="C9" s="20" t="s">
        <v>53</v>
      </c>
      <c r="D9" s="20"/>
      <c r="E9" s="20"/>
      <c r="F9" s="20"/>
      <c r="G9" s="20"/>
      <c r="H9" s="20"/>
      <c r="I9" s="20"/>
    </row>
    <row r="12" spans="2:12" ht="18.75" customHeight="1" x14ac:dyDescent="0.35">
      <c r="B12" s="11" t="s">
        <v>52</v>
      </c>
    </row>
    <row r="14" spans="2:12" x14ac:dyDescent="0.3">
      <c r="B14" s="19" t="s">
        <v>51</v>
      </c>
      <c r="C14" s="19"/>
      <c r="D14" s="19"/>
      <c r="E14" s="19" t="s">
        <v>42</v>
      </c>
      <c r="F14" s="19"/>
      <c r="G14" s="19"/>
      <c r="H14" s="19"/>
      <c r="I14" s="19"/>
      <c r="J14" s="19"/>
      <c r="K14" s="19"/>
      <c r="L14" s="19"/>
    </row>
    <row r="15" spans="2:12" x14ac:dyDescent="0.3">
      <c r="B15" s="15" t="s">
        <v>3</v>
      </c>
      <c r="C15" s="15"/>
      <c r="D15" s="15"/>
      <c r="E15" s="15" t="s">
        <v>50</v>
      </c>
      <c r="F15" s="15"/>
      <c r="G15" s="15"/>
      <c r="H15" s="15"/>
      <c r="I15" s="15"/>
      <c r="J15" s="15"/>
      <c r="K15" s="15"/>
      <c r="L15" s="15"/>
    </row>
    <row r="16" spans="2:12" x14ac:dyDescent="0.3">
      <c r="B16" s="15" t="s">
        <v>4</v>
      </c>
      <c r="C16" s="15"/>
      <c r="D16" s="15"/>
      <c r="E16" s="15" t="s">
        <v>49</v>
      </c>
      <c r="F16" s="15"/>
      <c r="G16" s="15"/>
      <c r="H16" s="15"/>
      <c r="I16" s="15"/>
      <c r="J16" s="15"/>
      <c r="K16" s="15"/>
      <c r="L16" s="15"/>
    </row>
    <row r="17" spans="2:12" x14ac:dyDescent="0.3">
      <c r="B17" s="15" t="s">
        <v>48</v>
      </c>
      <c r="C17" s="15"/>
      <c r="D17" s="15"/>
      <c r="E17" s="15" t="s">
        <v>47</v>
      </c>
      <c r="F17" s="15"/>
      <c r="G17" s="15"/>
      <c r="H17" s="15"/>
      <c r="I17" s="15"/>
      <c r="J17" s="15"/>
      <c r="K17" s="15"/>
      <c r="L17" s="15"/>
    </row>
    <row r="18" spans="2:12" x14ac:dyDescent="0.3">
      <c r="B18" s="15" t="s">
        <v>46</v>
      </c>
      <c r="C18" s="15"/>
      <c r="D18" s="15"/>
      <c r="E18" s="15" t="s">
        <v>45</v>
      </c>
      <c r="F18" s="15"/>
      <c r="G18" s="15"/>
      <c r="H18" s="15"/>
      <c r="I18" s="15"/>
      <c r="J18" s="15"/>
      <c r="K18" s="15"/>
      <c r="L18" s="15"/>
    </row>
    <row r="21" spans="2:12" ht="18.75" customHeight="1" x14ac:dyDescent="0.35">
      <c r="B21" s="11" t="s">
        <v>44</v>
      </c>
    </row>
    <row r="23" spans="2:12" x14ac:dyDescent="0.3">
      <c r="B23" s="19" t="s">
        <v>43</v>
      </c>
      <c r="C23" s="19"/>
      <c r="D23" s="19"/>
      <c r="E23" s="19" t="s">
        <v>42</v>
      </c>
      <c r="F23" s="19"/>
      <c r="G23" s="19"/>
      <c r="H23" s="19"/>
      <c r="I23" s="19"/>
      <c r="J23" s="19"/>
    </row>
    <row r="24" spans="2:12" x14ac:dyDescent="0.3">
      <c r="B24" s="15" t="s">
        <v>41</v>
      </c>
      <c r="C24" s="15"/>
      <c r="D24" s="15"/>
      <c r="E24" s="15" t="s">
        <v>61</v>
      </c>
      <c r="F24" s="15"/>
      <c r="G24" s="15"/>
      <c r="H24" s="15"/>
      <c r="I24" s="15"/>
      <c r="J24" s="15"/>
    </row>
    <row r="25" spans="2:12" x14ac:dyDescent="0.3">
      <c r="B25" s="15" t="s">
        <v>40</v>
      </c>
      <c r="C25" s="15"/>
      <c r="D25" s="15"/>
      <c r="E25" s="15" t="s">
        <v>39</v>
      </c>
      <c r="F25" s="15"/>
      <c r="G25" s="15"/>
      <c r="H25" s="15"/>
      <c r="I25" s="15"/>
      <c r="J25" s="15"/>
    </row>
    <row r="26" spans="2:12" x14ac:dyDescent="0.3">
      <c r="B26" s="15" t="s">
        <v>38</v>
      </c>
      <c r="C26" s="15"/>
      <c r="D26" s="15"/>
      <c r="E26" s="15" t="s">
        <v>37</v>
      </c>
      <c r="F26" s="15"/>
      <c r="G26" s="15"/>
      <c r="H26" s="15"/>
      <c r="I26" s="15"/>
      <c r="J26" s="15"/>
    </row>
    <row r="27" spans="2:12" x14ac:dyDescent="0.3">
      <c r="B27" s="15" t="s">
        <v>36</v>
      </c>
      <c r="C27" s="15"/>
      <c r="D27" s="15"/>
      <c r="E27" s="15" t="s">
        <v>35</v>
      </c>
      <c r="F27" s="15"/>
      <c r="G27" s="15"/>
      <c r="H27" s="15"/>
      <c r="I27" s="15"/>
      <c r="J27" s="15"/>
    </row>
  </sheetData>
  <mergeCells count="26">
    <mergeCell ref="B14:D14"/>
    <mergeCell ref="E14:L14"/>
    <mergeCell ref="B15:D15"/>
    <mergeCell ref="E15:L15"/>
    <mergeCell ref="B16:D16"/>
    <mergeCell ref="C5:I5"/>
    <mergeCell ref="C6:I6"/>
    <mergeCell ref="C7:I7"/>
    <mergeCell ref="C8:I8"/>
    <mergeCell ref="C9:I9"/>
    <mergeCell ref="B27:D27"/>
    <mergeCell ref="E27:J27"/>
    <mergeCell ref="C4:I4"/>
    <mergeCell ref="B24:D24"/>
    <mergeCell ref="E24:J24"/>
    <mergeCell ref="B25:D25"/>
    <mergeCell ref="E25:J25"/>
    <mergeCell ref="B26:D26"/>
    <mergeCell ref="E26:J26"/>
    <mergeCell ref="B17:D17"/>
    <mergeCell ref="E17:L17"/>
    <mergeCell ref="B18:D18"/>
    <mergeCell ref="E18:L18"/>
    <mergeCell ref="B23:D23"/>
    <mergeCell ref="E23:J23"/>
    <mergeCell ref="E16:L16"/>
  </mergeCells>
  <pageMargins left="0.75" right="0.75" top="1" bottom="1" header="0.511811023622047" footer="0.511811023622047"/>
  <pageSetup paperSize="9" orientation="portrait" horizontalDpi="300" verticalDpi="30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3"/>
  <sheetViews>
    <sheetView showGridLines="0" zoomScaleNormal="100" workbookViewId="0">
      <selection activeCell="H14" sqref="H14"/>
    </sheetView>
  </sheetViews>
  <sheetFormatPr defaultColWidth="8.6640625" defaultRowHeight="14.4" x14ac:dyDescent="0.3"/>
  <cols>
    <col min="1" max="1" width="2.44140625" customWidth="1"/>
    <col min="2" max="2" width="36.21875" customWidth="1"/>
    <col min="3" max="3" width="14" customWidth="1"/>
    <col min="4" max="4" width="18" customWidth="1"/>
    <col min="5" max="5" width="16" customWidth="1"/>
    <col min="6" max="6" width="2.44140625" customWidth="1"/>
  </cols>
  <sheetData>
    <row r="2" spans="2:5" ht="24.6" x14ac:dyDescent="0.3">
      <c r="B2" s="33" t="s">
        <v>0</v>
      </c>
      <c r="C2" s="33"/>
      <c r="D2" s="33"/>
      <c r="E2" s="33"/>
    </row>
    <row r="3" spans="2:5" x14ac:dyDescent="0.3">
      <c r="B3" s="34" t="s">
        <v>34</v>
      </c>
      <c r="C3" s="34"/>
      <c r="D3" s="34"/>
      <c r="E3" s="34"/>
    </row>
    <row r="5" spans="2:5" x14ac:dyDescent="0.3">
      <c r="B5" s="26" t="s">
        <v>1</v>
      </c>
      <c r="C5" s="26"/>
      <c r="D5" s="26"/>
      <c r="E5" s="26"/>
    </row>
    <row r="6" spans="2:5" x14ac:dyDescent="0.3">
      <c r="B6" s="2" t="s">
        <v>2</v>
      </c>
      <c r="C6" s="35" t="s">
        <v>59</v>
      </c>
      <c r="D6" s="35"/>
      <c r="E6" s="35"/>
    </row>
    <row r="7" spans="2:5" x14ac:dyDescent="0.3">
      <c r="B7" s="2" t="s">
        <v>3</v>
      </c>
      <c r="C7" s="36">
        <v>2500000</v>
      </c>
      <c r="D7" s="37"/>
      <c r="E7" s="37"/>
    </row>
    <row r="8" spans="2:5" x14ac:dyDescent="0.3">
      <c r="B8" s="2" t="s">
        <v>4</v>
      </c>
      <c r="C8" s="31">
        <v>250000</v>
      </c>
      <c r="D8" s="32"/>
      <c r="E8" s="32"/>
    </row>
    <row r="10" spans="2:5" ht="24" customHeight="1" x14ac:dyDescent="0.3">
      <c r="B10" s="3" t="s">
        <v>5</v>
      </c>
      <c r="C10" s="1" t="s">
        <v>6</v>
      </c>
      <c r="D10" s="30" t="s">
        <v>7</v>
      </c>
      <c r="E10" s="30"/>
    </row>
    <row r="11" spans="2:5" ht="21.75" customHeight="1" x14ac:dyDescent="0.3">
      <c r="B11" s="4" t="s">
        <v>8</v>
      </c>
      <c r="C11" s="14">
        <v>-2</v>
      </c>
      <c r="D11" s="27">
        <f t="shared" ref="D11:D22" si="0">C11*$C$8</f>
        <v>-500000</v>
      </c>
      <c r="E11" s="27"/>
    </row>
    <row r="12" spans="2:5" ht="21.75" customHeight="1" x14ac:dyDescent="0.3">
      <c r="B12" s="5" t="s">
        <v>9</v>
      </c>
      <c r="C12" s="14">
        <v>-1</v>
      </c>
      <c r="D12" s="27">
        <f t="shared" si="0"/>
        <v>-250000</v>
      </c>
      <c r="E12" s="27"/>
    </row>
    <row r="13" spans="2:5" ht="21.75" customHeight="1" x14ac:dyDescent="0.3">
      <c r="B13" s="4" t="s">
        <v>10</v>
      </c>
      <c r="C13" s="14">
        <v>0</v>
      </c>
      <c r="D13" s="27">
        <f t="shared" si="0"/>
        <v>0</v>
      </c>
      <c r="E13" s="27"/>
    </row>
    <row r="14" spans="2:5" ht="21.75" customHeight="1" x14ac:dyDescent="0.3">
      <c r="B14" s="5" t="s">
        <v>11</v>
      </c>
      <c r="C14" s="14">
        <v>1</v>
      </c>
      <c r="D14" s="27">
        <f t="shared" si="0"/>
        <v>250000</v>
      </c>
      <c r="E14" s="27"/>
    </row>
    <row r="15" spans="2:5" ht="21.75" customHeight="1" x14ac:dyDescent="0.3">
      <c r="B15" s="4" t="s">
        <v>12</v>
      </c>
      <c r="C15" s="14">
        <v>2</v>
      </c>
      <c r="D15" s="27">
        <f t="shared" si="0"/>
        <v>500000</v>
      </c>
      <c r="E15" s="27"/>
    </row>
    <row r="16" spans="2:5" ht="21.75" customHeight="1" x14ac:dyDescent="0.3">
      <c r="B16" s="5" t="s">
        <v>13</v>
      </c>
      <c r="C16" s="14">
        <v>2</v>
      </c>
      <c r="D16" s="27">
        <f t="shared" si="0"/>
        <v>500000</v>
      </c>
      <c r="E16" s="27"/>
    </row>
    <row r="17" spans="2:5" ht="21.75" customHeight="1" x14ac:dyDescent="0.3">
      <c r="B17" s="4" t="s">
        <v>14</v>
      </c>
      <c r="C17" s="14">
        <v>0</v>
      </c>
      <c r="D17" s="27">
        <f t="shared" si="0"/>
        <v>0</v>
      </c>
      <c r="E17" s="27"/>
    </row>
    <row r="18" spans="2:5" ht="21.75" customHeight="1" x14ac:dyDescent="0.3">
      <c r="B18" s="5" t="s">
        <v>15</v>
      </c>
      <c r="C18" s="14">
        <v>1</v>
      </c>
      <c r="D18" s="27">
        <f t="shared" si="0"/>
        <v>250000</v>
      </c>
      <c r="E18" s="27"/>
    </row>
    <row r="19" spans="2:5" ht="21.75" customHeight="1" x14ac:dyDescent="0.3">
      <c r="B19" s="4" t="s">
        <v>16</v>
      </c>
      <c r="C19" s="14">
        <v>0</v>
      </c>
      <c r="D19" s="27">
        <f t="shared" si="0"/>
        <v>0</v>
      </c>
      <c r="E19" s="27"/>
    </row>
    <row r="20" spans="2:5" ht="21.75" customHeight="1" x14ac:dyDescent="0.3">
      <c r="B20" s="5" t="s">
        <v>17</v>
      </c>
      <c r="C20" s="14">
        <v>-1</v>
      </c>
      <c r="D20" s="27">
        <f t="shared" si="0"/>
        <v>-250000</v>
      </c>
      <c r="E20" s="27"/>
    </row>
    <row r="21" spans="2:5" ht="21.75" customHeight="1" x14ac:dyDescent="0.3">
      <c r="B21" s="4" t="s">
        <v>18</v>
      </c>
      <c r="C21" s="14">
        <v>-1</v>
      </c>
      <c r="D21" s="27">
        <f t="shared" si="0"/>
        <v>-250000</v>
      </c>
      <c r="E21" s="27"/>
    </row>
    <row r="22" spans="2:5" ht="21.75" customHeight="1" x14ac:dyDescent="0.3">
      <c r="B22" s="5" t="s">
        <v>19</v>
      </c>
      <c r="C22" s="14">
        <v>1</v>
      </c>
      <c r="D22" s="27">
        <f t="shared" si="0"/>
        <v>250000</v>
      </c>
      <c r="E22" s="27"/>
    </row>
    <row r="23" spans="2:5" x14ac:dyDescent="0.3">
      <c r="B23" s="28" t="s">
        <v>20</v>
      </c>
      <c r="C23" s="28"/>
      <c r="D23" s="29">
        <f>SUM(D11:D22)</f>
        <v>500000</v>
      </c>
      <c r="E23" s="29"/>
    </row>
    <row r="24" spans="2:5" ht="30" customHeight="1" x14ac:dyDescent="0.3">
      <c r="B24" s="24" t="s">
        <v>21</v>
      </c>
      <c r="C24" s="24"/>
      <c r="D24" s="25">
        <f>$C$7+D23</f>
        <v>3000000</v>
      </c>
      <c r="E24" s="25"/>
    </row>
    <row r="26" spans="2:5" x14ac:dyDescent="0.3">
      <c r="B26" s="26" t="s">
        <v>22</v>
      </c>
      <c r="C26" s="26"/>
      <c r="D26" s="26"/>
      <c r="E26" s="26"/>
    </row>
    <row r="27" spans="2:5" x14ac:dyDescent="0.3">
      <c r="B27" s="6" t="s">
        <v>23</v>
      </c>
      <c r="C27" s="21" t="s">
        <v>24</v>
      </c>
      <c r="D27" s="21"/>
      <c r="E27" s="21"/>
    </row>
    <row r="28" spans="2:5" x14ac:dyDescent="0.3">
      <c r="B28" s="7" t="s">
        <v>25</v>
      </c>
      <c r="C28" s="22" t="s">
        <v>26</v>
      </c>
      <c r="D28" s="22"/>
      <c r="E28" s="22"/>
    </row>
    <row r="29" spans="2:5" x14ac:dyDescent="0.3">
      <c r="B29" s="8" t="s">
        <v>27</v>
      </c>
      <c r="C29" s="21" t="s">
        <v>28</v>
      </c>
      <c r="D29" s="21"/>
      <c r="E29" s="21"/>
    </row>
    <row r="30" spans="2:5" x14ac:dyDescent="0.3">
      <c r="B30" s="9" t="s">
        <v>29</v>
      </c>
      <c r="C30" s="22" t="s">
        <v>30</v>
      </c>
      <c r="D30" s="22"/>
      <c r="E30" s="22"/>
    </row>
    <row r="31" spans="2:5" x14ac:dyDescent="0.3">
      <c r="B31" s="10" t="s">
        <v>31</v>
      </c>
      <c r="C31" s="21" t="s">
        <v>32</v>
      </c>
      <c r="D31" s="21"/>
      <c r="E31" s="21"/>
    </row>
    <row r="33" spans="2:5" ht="27.75" customHeight="1" x14ac:dyDescent="0.3">
      <c r="B33" s="23" t="s">
        <v>33</v>
      </c>
      <c r="C33" s="23"/>
      <c r="D33" s="23"/>
      <c r="E33" s="23"/>
    </row>
  </sheetData>
  <mergeCells count="30">
    <mergeCell ref="B2:E2"/>
    <mergeCell ref="B3:E3"/>
    <mergeCell ref="B5:E5"/>
    <mergeCell ref="C6:E6"/>
    <mergeCell ref="C7:E7"/>
    <mergeCell ref="D10:E10"/>
    <mergeCell ref="D11:E11"/>
    <mergeCell ref="D12:E12"/>
    <mergeCell ref="D13:E13"/>
    <mergeCell ref="C8:E8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B23:C23"/>
    <mergeCell ref="D23:E23"/>
    <mergeCell ref="C29:E29"/>
    <mergeCell ref="C30:E30"/>
    <mergeCell ref="C31:E31"/>
    <mergeCell ref="B33:E33"/>
    <mergeCell ref="B24:C24"/>
    <mergeCell ref="D24:E24"/>
    <mergeCell ref="B26:E26"/>
    <mergeCell ref="C27:E27"/>
    <mergeCell ref="C28:E28"/>
  </mergeCells>
  <conditionalFormatting sqref="D11:D22">
    <cfRule type="cellIs" dxfId="1" priority="2" operator="greaterThan">
      <formula>0</formula>
    </cfRule>
    <cfRule type="cellIs" dxfId="0" priority="3" operator="lessThan">
      <formula>0</formula>
    </cfRule>
  </conditionalFormatting>
  <dataValidations count="1">
    <dataValidation type="list" errorTitle="Invalid rating" error="Pick a rating from -2 to +2." promptTitle="Rate this risk" prompt="-2 = extremely negative … 0 = neutral … +2 = extremely positive" sqref="C11:C22" xr:uid="{00000000-0002-0000-0000-000000000000}">
      <formula1>"-2,-1,0,1,2"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 - RFS</vt:lpstr>
      <vt:lpstr>RFS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Asif Shukoor</cp:lastModifiedBy>
  <cp:revision>0</cp:revision>
  <dcterms:created xsi:type="dcterms:W3CDTF">2026-05-29T05:38:56Z</dcterms:created>
  <dcterms:modified xsi:type="dcterms:W3CDTF">2026-06-23T18:26:02Z</dcterms:modified>
  <dc:language>en-US</dc:language>
</cp:coreProperties>
</file>