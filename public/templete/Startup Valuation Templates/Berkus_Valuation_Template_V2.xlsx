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sifa\OneDrive\Documents\My Docs\GHC Growth Lab\Research &amp; Additional Docs\Community Engagement\Templates\Startup Valuation Templates\With GHC Watermark\"/>
    </mc:Choice>
  </mc:AlternateContent>
  <xr:revisionPtr revIDLastSave="0" documentId="13_ncr:1_{64143681-94C2-4091-82D2-BC6BE23D9881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Instructions" sheetId="1" r:id="rId1"/>
    <sheet name="Berkus Valuation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6" i="2" l="1"/>
  <c r="E14" i="2"/>
  <c r="E13" i="2"/>
  <c r="E12" i="2"/>
  <c r="E11" i="2"/>
  <c r="E10" i="2"/>
  <c r="E15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7" authorId="0" shapeId="0" xr:uid="{00000000-0006-0000-0100-000001000000}">
      <text>
        <r>
          <rPr>
            <sz val="10"/>
            <rFont val="Arial"/>
            <family val="2"/>
          </rPr>
          <t>Classic Berkus = ₹500,000 per factor (theoretical max ₹2.5M).
For the modified method, set this to 20% of your target average valuation
(e.g. ₹1,200,000 if target avg is ₹6M). Source: Berkus method, eqvista.com.</t>
        </r>
      </text>
    </comment>
  </commentList>
</comments>
</file>

<file path=xl/sharedStrings.xml><?xml version="1.0" encoding="utf-8"?>
<sst xmlns="http://schemas.openxmlformats.org/spreadsheetml/2006/main" count="53" uniqueCount="53">
  <si>
    <t>Step-by-Step Instructions</t>
  </si>
  <si>
    <t>Steps</t>
  </si>
  <si>
    <t>Details</t>
  </si>
  <si>
    <t>Go to the “Berkus Valuation” sheet</t>
  </si>
  <si>
    <t>Enter your company name and choose the max value per factor</t>
  </si>
  <si>
    <t>Use the scoring guide to decide each score</t>
  </si>
  <si>
    <t>View the resulting Pre-Money Valuation at the bottom of the table</t>
  </si>
  <si>
    <t>Description</t>
  </si>
  <si>
    <t>Company name</t>
  </si>
  <si>
    <t>Max value per factor</t>
  </si>
  <si>
    <t>Sound Idea</t>
  </si>
  <si>
    <t>Quality Management Team</t>
  </si>
  <si>
    <t>Prototype / Working Product</t>
  </si>
  <si>
    <t>Strategic Relationships</t>
  </si>
  <si>
    <t>Product Rollout / Sales</t>
  </si>
  <si>
    <t>Important Guidelines</t>
  </si>
  <si>
    <t>Guideline</t>
  </si>
  <si>
    <t>Score only input cells</t>
  </si>
  <si>
    <t>Use the scoring guide</t>
  </si>
  <si>
    <t>Match each score (0%, 25%, 50%, 75%, 100%) to the evidence available for that factor.</t>
  </si>
  <si>
    <t>Pre-revenue use</t>
  </si>
  <si>
    <t>The Berkus method estimates pre-money value from qualitative risk factors, best for very early, pre-revenue startups.</t>
  </si>
  <si>
    <t>Adjust the maximum</t>
  </si>
  <si>
    <t>Berkus Valuation Method</t>
  </si>
  <si>
    <t>A risk-based pre-money valuation tool for pre-revenue startups</t>
  </si>
  <si>
    <t xml:space="preserve">  Setup</t>
  </si>
  <si>
    <t>Risk Factor</t>
  </si>
  <si>
    <t>What it measures</t>
  </si>
  <si>
    <t>Your Score</t>
  </si>
  <si>
    <t>Value Added</t>
  </si>
  <si>
    <t>Basic value, low product risk — a compelling idea that solves a real problem.</t>
  </si>
  <si>
    <t>Founders' domain experience &amp; track record reduce execution risk.</t>
  </si>
  <si>
    <t>A working prototype reduces technology risk and proves viability.</t>
  </si>
  <si>
    <t>Partnerships &amp; alliances reduce market risk and ease rollout.</t>
  </si>
  <si>
    <t>Signs of revenue and a path to profitability reduce production risk.</t>
  </si>
  <si>
    <t xml:space="preserve">Pre-Money Valuation   </t>
  </si>
  <si>
    <t xml:space="preserve">Theoretical maximum (all factors at 100%)   </t>
  </si>
  <si>
    <t xml:space="preserve">  Scoring guide</t>
  </si>
  <si>
    <t>0%</t>
  </si>
  <si>
    <t>Risk fully present — factor absent or unproven</t>
  </si>
  <si>
    <t>25%</t>
  </si>
  <si>
    <t>Early / weak evidence</t>
  </si>
  <si>
    <t>50%</t>
  </si>
  <si>
    <t>Moderate — partially demonstrated</t>
  </si>
  <si>
    <t>75%</t>
  </si>
  <si>
    <t>Strong — well established</t>
  </si>
  <si>
    <t>100%</t>
  </si>
  <si>
    <t>Risk fully addressed — best-in-class</t>
  </si>
  <si>
    <t>Blue cells are inputs. The Berkus method estimates pre-money value from qualitative risk factors, not financial forecasts — best for very early, pre-revenue startups.</t>
  </si>
  <si>
    <t>Score each of the 5 risk factors from 0% to 100% in the light green cells (do not edit formulas)</t>
  </si>
  <si>
    <t>Enter scores only in the highlighted light green cells; do not edit formulas.</t>
  </si>
  <si>
    <t>Edit the max value per factor to switch between the classic (₹500K) and modified methods.</t>
  </si>
  <si>
    <t>← edit for classic (₹500K) or modified method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</si>
</sst>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4"/>
      <color theme="1"/>
      <name val="Calibri"/>
      <family val="2"/>
    </font>
    <font>
      <b/>
      <sz val="11"/>
      <color theme="0"/>
      <name val="Calibri"/>
      <family val="2"/>
    </font>
    <font>
      <sz val="11"/>
      <color theme="1"/>
      <name val="Calibri"/>
      <family val="2"/>
    </font>
    <font>
      <b/>
      <sz val="20"/>
      <color rgb="FF2E5E4E"/>
      <name val="Arial"/>
      <family val="2"/>
      <charset val="1"/>
    </font>
    <font>
      <i/>
      <sz val="10"/>
      <color rgb="FF6B7480"/>
      <name val="Arial"/>
      <family val="2"/>
      <charset val="1"/>
    </font>
    <font>
      <b/>
      <sz val="11"/>
      <color rgb="FFFFFFFF"/>
      <name val="Arial"/>
      <family val="2"/>
      <charset val="1"/>
    </font>
    <font>
      <b/>
      <sz val="11"/>
      <color rgb="FF1A2233"/>
      <name val="Arial"/>
      <family val="2"/>
      <charset val="1"/>
    </font>
    <font>
      <sz val="11"/>
      <color rgb="FF0000FF"/>
      <name val="Arial"/>
      <family val="2"/>
      <charset val="1"/>
    </font>
    <font>
      <i/>
      <sz val="9"/>
      <color rgb="FF6B7480"/>
      <name val="Arial"/>
      <family val="2"/>
      <charset val="1"/>
    </font>
    <font>
      <sz val="10"/>
      <color rgb="FF44505E"/>
      <name val="Arial"/>
      <family val="2"/>
      <charset val="1"/>
    </font>
    <font>
      <sz val="11"/>
      <color rgb="FF1A2233"/>
      <name val="Arial"/>
      <family val="2"/>
      <charset val="1"/>
    </font>
    <font>
      <b/>
      <sz val="12"/>
      <color rgb="FFFFFFFF"/>
      <name val="Arial"/>
      <family val="2"/>
      <charset val="1"/>
    </font>
    <font>
      <b/>
      <sz val="11"/>
      <color rgb="FF2E5E4E"/>
      <name val="Arial"/>
      <family val="2"/>
      <charset val="1"/>
    </font>
    <font>
      <i/>
      <sz val="9"/>
      <color rgb="FF9AA3AD"/>
      <name val="Arial"/>
      <family val="2"/>
      <charset val="1"/>
    </font>
    <font>
      <sz val="11"/>
      <name val="Arial"/>
      <family val="2"/>
      <charset val="1"/>
    </font>
    <font>
      <b/>
      <sz val="11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theme="4" tint="-0.499984740745262"/>
        <bgColor rgb="FF44505E"/>
      </patternFill>
    </fill>
    <fill>
      <patternFill patternType="solid">
        <fgColor rgb="FF2E5E4E"/>
        <bgColor rgb="FF44505E"/>
      </patternFill>
    </fill>
    <fill>
      <patternFill patternType="solid">
        <fgColor rgb="FFE7F0EB"/>
        <bgColor rgb="FFF4F6F8"/>
      </patternFill>
    </fill>
    <fill>
      <patternFill patternType="solid">
        <fgColor rgb="FFF4F6F8"/>
        <bgColor rgb="FFFFFFFF"/>
      </patternFill>
    </fill>
    <fill>
      <patternFill patternType="solid">
        <fgColor rgb="FFFFFFFF"/>
        <bgColor rgb="FFF4F6F8"/>
      </patternFill>
    </fill>
  </fills>
  <borders count="8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rgb="FFD7DCE2"/>
      </left>
      <right/>
      <top style="thin">
        <color rgb="FFD7DCE2"/>
      </top>
      <bottom style="thin">
        <color rgb="FFD7DCE2"/>
      </bottom>
      <diagonal/>
    </border>
    <border>
      <left style="thin">
        <color rgb="FFD7DCE2"/>
      </left>
      <right style="thin">
        <color rgb="FFD7DCE2"/>
      </right>
      <top style="thin">
        <color rgb="FFD7DCE2"/>
      </top>
      <bottom style="thin">
        <color rgb="FFD7DCE2"/>
      </bottom>
      <diagonal/>
    </border>
    <border>
      <left style="medium">
        <color rgb="FF2E5E4E"/>
      </left>
      <right style="medium">
        <color rgb="FF2E5E4E"/>
      </right>
      <top style="medium">
        <color rgb="FF2E5E4E"/>
      </top>
      <bottom style="medium">
        <color rgb="FF2E5E4E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8" fillId="0" borderId="0" xfId="0" applyFont="1" applyAlignment="1">
      <alignment horizontal="left" vertical="center"/>
    </xf>
    <xf numFmtId="0" fontId="7" fillId="3" borderId="3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8" fillId="5" borderId="3" xfId="0" applyFont="1" applyFill="1" applyBorder="1" applyAlignment="1">
      <alignment horizontal="left" vertical="center" wrapText="1"/>
    </xf>
    <xf numFmtId="0" fontId="11" fillId="5" borderId="3" xfId="0" applyFont="1" applyFill="1" applyBorder="1" applyAlignment="1">
      <alignment horizontal="left" vertical="center" wrapText="1"/>
    </xf>
    <xf numFmtId="0" fontId="8" fillId="6" borderId="3" xfId="0" applyFont="1" applyFill="1" applyBorder="1" applyAlignment="1">
      <alignment horizontal="left" vertical="center" wrapText="1"/>
    </xf>
    <xf numFmtId="0" fontId="11" fillId="6" borderId="3" xfId="0" applyFont="1" applyFill="1" applyBorder="1" applyAlignment="1">
      <alignment horizontal="left" vertical="center" wrapText="1"/>
    </xf>
    <xf numFmtId="0" fontId="12" fillId="3" borderId="0" xfId="0" applyFont="1" applyFill="1" applyAlignment="1">
      <alignment horizontal="left" vertical="center"/>
    </xf>
    <xf numFmtId="0" fontId="14" fillId="5" borderId="3" xfId="0" applyFont="1" applyFill="1" applyBorder="1" applyAlignment="1">
      <alignment horizontal="center" vertical="center"/>
    </xf>
    <xf numFmtId="0" fontId="14" fillId="6" borderId="3" xfId="0" applyFont="1" applyFill="1" applyBorder="1" applyAlignment="1">
      <alignment horizontal="center" vertical="center"/>
    </xf>
    <xf numFmtId="3" fontId="12" fillId="0" borderId="3" xfId="0" applyNumberFormat="1" applyFont="1" applyBorder="1" applyAlignment="1">
      <alignment horizontal="center" vertical="center"/>
    </xf>
    <xf numFmtId="3" fontId="13" fillId="3" borderId="4" xfId="0" applyNumberFormat="1" applyFont="1" applyFill="1" applyBorder="1" applyAlignment="1">
      <alignment horizontal="center" vertical="center"/>
    </xf>
    <xf numFmtId="3" fontId="10" fillId="0" borderId="0" xfId="0" applyNumberFormat="1" applyFont="1" applyAlignment="1">
      <alignment horizontal="center" vertical="center"/>
    </xf>
    <xf numFmtId="3" fontId="16" fillId="4" borderId="3" xfId="0" applyNumberFormat="1" applyFont="1" applyFill="1" applyBorder="1" applyAlignment="1">
      <alignment horizontal="center" vertical="center"/>
    </xf>
    <xf numFmtId="9" fontId="17" fillId="4" borderId="3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/>
    </xf>
    <xf numFmtId="0" fontId="11" fillId="5" borderId="2" xfId="0" applyFont="1" applyFill="1" applyBorder="1" applyAlignment="1">
      <alignment horizontal="left" vertical="center"/>
    </xf>
    <xf numFmtId="0" fontId="11" fillId="6" borderId="2" xfId="0" applyFont="1" applyFill="1" applyBorder="1" applyAlignment="1">
      <alignment horizontal="left" vertical="center"/>
    </xf>
    <xf numFmtId="0" fontId="15" fillId="0" borderId="0" xfId="0" applyFont="1" applyAlignment="1">
      <alignment horizontal="left" vertical="center" wrapText="1"/>
    </xf>
    <xf numFmtId="0" fontId="13" fillId="3" borderId="0" xfId="0" applyFont="1" applyFill="1" applyAlignment="1">
      <alignment horizontal="right" vertical="center"/>
    </xf>
    <xf numFmtId="0" fontId="10" fillId="0" borderId="0" xfId="0" applyFont="1" applyAlignment="1">
      <alignment horizontal="right" vertical="center"/>
    </xf>
    <xf numFmtId="0" fontId="7" fillId="3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9" fillId="4" borderId="2" xfId="0" applyFont="1" applyFill="1" applyBorder="1" applyAlignment="1">
      <alignment horizontal="left" vertical="center"/>
    </xf>
    <xf numFmtId="0" fontId="10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E5E4E"/>
      <rgbColor rgb="FFBFBFBF"/>
      <rgbColor rgb="FF808080"/>
      <rgbColor rgb="FF9999FF"/>
      <rgbColor rgb="FF993366"/>
      <rgbColor rgb="FFF4F6F8"/>
      <rgbColor rgb="FFE7F0EB"/>
      <rgbColor rgb="FF660066"/>
      <rgbColor rgb="FFFF8080"/>
      <rgbColor rgb="FF0066CC"/>
      <rgbColor rgb="FFD7DCE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480"/>
      <rgbColor rgb="FF9AA3AD"/>
      <rgbColor rgb="FF003366"/>
      <rgbColor rgb="FF339966"/>
      <rgbColor rgb="FF003300"/>
      <rgbColor rgb="FF44505E"/>
      <rgbColor rgb="FF993300"/>
      <rgbColor rgb="FF993366"/>
      <rgbColor rgb="FF254061"/>
      <rgbColor rgb="FF1A22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BFBFBF"/>
  </sheetPr>
  <dimension ref="B2:J18"/>
  <sheetViews>
    <sheetView showGridLines="0" tabSelected="1" zoomScaleNormal="100" workbookViewId="0">
      <selection activeCell="F11" sqref="F11"/>
    </sheetView>
  </sheetViews>
  <sheetFormatPr defaultColWidth="8.6640625" defaultRowHeight="14.4" x14ac:dyDescent="0.3"/>
  <cols>
    <col min="1" max="1" width="1.77734375" customWidth="1"/>
    <col min="2" max="2" width="9.109375" customWidth="1"/>
    <col min="3" max="3" width="10.44140625" customWidth="1"/>
    <col min="5" max="9" width="15" customWidth="1"/>
    <col min="10" max="10" width="24.44140625" customWidth="1"/>
  </cols>
  <sheetData>
    <row r="2" spans="2:10" ht="18.75" customHeight="1" x14ac:dyDescent="0.35">
      <c r="B2" s="1" t="s">
        <v>0</v>
      </c>
    </row>
    <row r="4" spans="2:10" x14ac:dyDescent="0.3">
      <c r="B4" s="2" t="s">
        <v>1</v>
      </c>
      <c r="C4" s="20" t="s">
        <v>2</v>
      </c>
      <c r="D4" s="21"/>
      <c r="E4" s="21"/>
      <c r="F4" s="21"/>
      <c r="G4" s="21"/>
      <c r="H4" s="21"/>
      <c r="I4" s="22"/>
    </row>
    <row r="5" spans="2:10" x14ac:dyDescent="0.3">
      <c r="B5" s="3">
        <v>1</v>
      </c>
      <c r="C5" s="24" t="s">
        <v>3</v>
      </c>
      <c r="D5" s="24"/>
      <c r="E5" s="24"/>
      <c r="F5" s="24"/>
      <c r="G5" s="24"/>
      <c r="H5" s="24"/>
      <c r="I5" s="24"/>
    </row>
    <row r="6" spans="2:10" x14ac:dyDescent="0.3">
      <c r="B6" s="3">
        <v>2</v>
      </c>
      <c r="C6" s="24" t="s">
        <v>4</v>
      </c>
      <c r="D6" s="24"/>
      <c r="E6" s="24"/>
      <c r="F6" s="24"/>
      <c r="G6" s="24"/>
      <c r="H6" s="24"/>
      <c r="I6" s="24"/>
    </row>
    <row r="7" spans="2:10" x14ac:dyDescent="0.3">
      <c r="B7" s="3">
        <v>3</v>
      </c>
      <c r="C7" s="24" t="s">
        <v>49</v>
      </c>
      <c r="D7" s="24"/>
      <c r="E7" s="24"/>
      <c r="F7" s="24"/>
      <c r="G7" s="24"/>
      <c r="H7" s="24"/>
      <c r="I7" s="24"/>
    </row>
    <row r="8" spans="2:10" x14ac:dyDescent="0.3">
      <c r="B8" s="3">
        <v>4</v>
      </c>
      <c r="C8" s="24" t="s">
        <v>5</v>
      </c>
      <c r="D8" s="24"/>
      <c r="E8" s="24"/>
      <c r="F8" s="24"/>
      <c r="G8" s="24"/>
      <c r="H8" s="24"/>
      <c r="I8" s="24"/>
    </row>
    <row r="9" spans="2:10" x14ac:dyDescent="0.3">
      <c r="B9" s="3">
        <v>5</v>
      </c>
      <c r="C9" s="24" t="s">
        <v>6</v>
      </c>
      <c r="D9" s="24"/>
      <c r="E9" s="24"/>
      <c r="F9" s="24"/>
      <c r="G9" s="24"/>
      <c r="H9" s="24"/>
      <c r="I9" s="24"/>
    </row>
    <row r="12" spans="2:10" ht="18.75" customHeight="1" x14ac:dyDescent="0.35">
      <c r="B12" s="1" t="s">
        <v>15</v>
      </c>
    </row>
    <row r="14" spans="2:10" x14ac:dyDescent="0.3">
      <c r="B14" s="23" t="s">
        <v>16</v>
      </c>
      <c r="C14" s="23"/>
      <c r="D14" s="23"/>
      <c r="E14" s="23" t="s">
        <v>7</v>
      </c>
      <c r="F14" s="23"/>
      <c r="G14" s="23"/>
      <c r="H14" s="23"/>
      <c r="I14" s="23"/>
      <c r="J14" s="23"/>
    </row>
    <row r="15" spans="2:10" x14ac:dyDescent="0.3">
      <c r="B15" s="19" t="s">
        <v>17</v>
      </c>
      <c r="C15" s="19"/>
      <c r="D15" s="19"/>
      <c r="E15" s="19" t="s">
        <v>50</v>
      </c>
      <c r="F15" s="19"/>
      <c r="G15" s="19"/>
      <c r="H15" s="19"/>
      <c r="I15" s="19"/>
      <c r="J15" s="19"/>
    </row>
    <row r="16" spans="2:10" x14ac:dyDescent="0.3">
      <c r="B16" s="19" t="s">
        <v>18</v>
      </c>
      <c r="C16" s="19"/>
      <c r="D16" s="19"/>
      <c r="E16" s="19" t="s">
        <v>19</v>
      </c>
      <c r="F16" s="19"/>
      <c r="G16" s="19"/>
      <c r="H16" s="19"/>
      <c r="I16" s="19"/>
      <c r="J16" s="19"/>
    </row>
    <row r="17" spans="2:10" x14ac:dyDescent="0.3">
      <c r="B17" s="19" t="s">
        <v>20</v>
      </c>
      <c r="C17" s="19"/>
      <c r="D17" s="19"/>
      <c r="E17" s="19" t="s">
        <v>21</v>
      </c>
      <c r="F17" s="19"/>
      <c r="G17" s="19"/>
      <c r="H17" s="19"/>
      <c r="I17" s="19"/>
      <c r="J17" s="19"/>
    </row>
    <row r="18" spans="2:10" x14ac:dyDescent="0.3">
      <c r="B18" s="19" t="s">
        <v>22</v>
      </c>
      <c r="C18" s="19"/>
      <c r="D18" s="19"/>
      <c r="E18" s="19" t="s">
        <v>51</v>
      </c>
      <c r="F18" s="19"/>
      <c r="G18" s="19"/>
      <c r="H18" s="19"/>
      <c r="I18" s="19"/>
      <c r="J18" s="19"/>
    </row>
  </sheetData>
  <mergeCells count="16">
    <mergeCell ref="B18:D18"/>
    <mergeCell ref="E18:J18"/>
    <mergeCell ref="C4:I4"/>
    <mergeCell ref="B15:D15"/>
    <mergeCell ref="E15:J15"/>
    <mergeCell ref="B16:D16"/>
    <mergeCell ref="E16:J16"/>
    <mergeCell ref="B17:D17"/>
    <mergeCell ref="E17:J17"/>
    <mergeCell ref="B14:D14"/>
    <mergeCell ref="E14:J14"/>
    <mergeCell ref="C5:I5"/>
    <mergeCell ref="C6:I6"/>
    <mergeCell ref="C7:I7"/>
    <mergeCell ref="C8:I8"/>
    <mergeCell ref="C9:I9"/>
  </mergeCells>
  <pageMargins left="0.75" right="0.75" top="1" bottom="1" header="0.511811023622047" footer="0.511811023622047"/>
  <pageSetup paperSize="9" orientation="portrait" horizontalDpi="300" verticalDpi="300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E25"/>
  <sheetViews>
    <sheetView showGridLines="0" zoomScaleNormal="150" workbookViewId="0">
      <selection activeCell="D10" sqref="D10:D14"/>
    </sheetView>
  </sheetViews>
  <sheetFormatPr defaultColWidth="8.6640625" defaultRowHeight="14.4" x14ac:dyDescent="0.3"/>
  <cols>
    <col min="1" max="1" width="2.44140625" customWidth="1"/>
    <col min="2" max="2" width="30" customWidth="1"/>
    <col min="3" max="3" width="46" customWidth="1"/>
    <col min="4" max="5" width="17" customWidth="1"/>
    <col min="6" max="6" width="2.44140625" customWidth="1"/>
  </cols>
  <sheetData>
    <row r="2" spans="2:5" ht="24.75" customHeight="1" x14ac:dyDescent="0.3">
      <c r="B2" s="31" t="s">
        <v>23</v>
      </c>
      <c r="C2" s="31"/>
      <c r="D2" s="31"/>
      <c r="E2" s="31"/>
    </row>
    <row r="3" spans="2:5" x14ac:dyDescent="0.3">
      <c r="B3" s="32" t="s">
        <v>24</v>
      </c>
      <c r="C3" s="32"/>
      <c r="D3" s="32"/>
      <c r="E3" s="32"/>
    </row>
    <row r="5" spans="2:5" x14ac:dyDescent="0.3">
      <c r="B5" s="30" t="s">
        <v>25</v>
      </c>
      <c r="C5" s="30"/>
      <c r="D5" s="30"/>
      <c r="E5" s="30"/>
    </row>
    <row r="6" spans="2:5" x14ac:dyDescent="0.3">
      <c r="B6" s="4" t="s">
        <v>8</v>
      </c>
      <c r="C6" s="33"/>
      <c r="D6" s="33"/>
      <c r="E6" s="33"/>
    </row>
    <row r="7" spans="2:5" x14ac:dyDescent="0.3">
      <c r="B7" s="4" t="s">
        <v>9</v>
      </c>
      <c r="C7" s="17">
        <v>500000</v>
      </c>
      <c r="D7" s="34" t="s">
        <v>52</v>
      </c>
      <c r="E7" s="34"/>
    </row>
    <row r="9" spans="2:5" ht="25.5" customHeight="1" x14ac:dyDescent="0.3">
      <c r="B9" s="5" t="s">
        <v>26</v>
      </c>
      <c r="C9" s="5" t="s">
        <v>27</v>
      </c>
      <c r="D9" s="6" t="s">
        <v>28</v>
      </c>
      <c r="E9" s="6" t="s">
        <v>29</v>
      </c>
    </row>
    <row r="10" spans="2:5" ht="33.75" customHeight="1" x14ac:dyDescent="0.3">
      <c r="B10" s="7" t="s">
        <v>10</v>
      </c>
      <c r="C10" s="8" t="s">
        <v>30</v>
      </c>
      <c r="D10" s="18">
        <v>0.5</v>
      </c>
      <c r="E10" s="14">
        <f>D10*$C$7</f>
        <v>250000</v>
      </c>
    </row>
    <row r="11" spans="2:5" ht="33.75" customHeight="1" x14ac:dyDescent="0.3">
      <c r="B11" s="9" t="s">
        <v>11</v>
      </c>
      <c r="C11" s="10" t="s">
        <v>31</v>
      </c>
      <c r="D11" s="18">
        <v>0.5</v>
      </c>
      <c r="E11" s="14">
        <f>D11*$C$7</f>
        <v>250000</v>
      </c>
    </row>
    <row r="12" spans="2:5" ht="33.75" customHeight="1" x14ac:dyDescent="0.3">
      <c r="B12" s="7" t="s">
        <v>12</v>
      </c>
      <c r="C12" s="8" t="s">
        <v>32</v>
      </c>
      <c r="D12" s="18">
        <v>0.5</v>
      </c>
      <c r="E12" s="14">
        <f>D12*$C$7</f>
        <v>250000</v>
      </c>
    </row>
    <row r="13" spans="2:5" ht="33.75" customHeight="1" x14ac:dyDescent="0.3">
      <c r="B13" s="9" t="s">
        <v>13</v>
      </c>
      <c r="C13" s="10" t="s">
        <v>33</v>
      </c>
      <c r="D13" s="18">
        <v>0.5</v>
      </c>
      <c r="E13" s="14">
        <f>D13*$C$7</f>
        <v>250000</v>
      </c>
    </row>
    <row r="14" spans="2:5" ht="33.75" customHeight="1" x14ac:dyDescent="0.3">
      <c r="B14" s="7" t="s">
        <v>14</v>
      </c>
      <c r="C14" s="8" t="s">
        <v>34</v>
      </c>
      <c r="D14" s="18">
        <v>0.5</v>
      </c>
      <c r="E14" s="14">
        <f>D14*$C$7</f>
        <v>250000</v>
      </c>
    </row>
    <row r="15" spans="2:5" ht="30" customHeight="1" x14ac:dyDescent="0.3">
      <c r="B15" s="28" t="s">
        <v>35</v>
      </c>
      <c r="C15" s="28"/>
      <c r="D15" s="11"/>
      <c r="E15" s="15">
        <f>SUM(E10:E14)</f>
        <v>1250000</v>
      </c>
    </row>
    <row r="16" spans="2:5" x14ac:dyDescent="0.3">
      <c r="B16" s="29" t="s">
        <v>36</v>
      </c>
      <c r="C16" s="29"/>
      <c r="E16" s="16">
        <f>$C$7*5</f>
        <v>2500000</v>
      </c>
    </row>
    <row r="18" spans="2:5" x14ac:dyDescent="0.3">
      <c r="B18" s="30" t="s">
        <v>37</v>
      </c>
      <c r="C18" s="30"/>
      <c r="D18" s="30"/>
      <c r="E18" s="30"/>
    </row>
    <row r="19" spans="2:5" x14ac:dyDescent="0.3">
      <c r="B19" s="12" t="s">
        <v>38</v>
      </c>
      <c r="C19" s="25" t="s">
        <v>39</v>
      </c>
      <c r="D19" s="25"/>
      <c r="E19" s="25"/>
    </row>
    <row r="20" spans="2:5" x14ac:dyDescent="0.3">
      <c r="B20" s="13" t="s">
        <v>40</v>
      </c>
      <c r="C20" s="26" t="s">
        <v>41</v>
      </c>
      <c r="D20" s="26"/>
      <c r="E20" s="26"/>
    </row>
    <row r="21" spans="2:5" x14ac:dyDescent="0.3">
      <c r="B21" s="12" t="s">
        <v>42</v>
      </c>
      <c r="C21" s="25" t="s">
        <v>43</v>
      </c>
      <c r="D21" s="25"/>
      <c r="E21" s="25"/>
    </row>
    <row r="22" spans="2:5" x14ac:dyDescent="0.3">
      <c r="B22" s="13" t="s">
        <v>44</v>
      </c>
      <c r="C22" s="26" t="s">
        <v>45</v>
      </c>
      <c r="D22" s="26"/>
      <c r="E22" s="26"/>
    </row>
    <row r="23" spans="2:5" x14ac:dyDescent="0.3">
      <c r="B23" s="12" t="s">
        <v>46</v>
      </c>
      <c r="C23" s="25" t="s">
        <v>47</v>
      </c>
      <c r="D23" s="25"/>
      <c r="E23" s="25"/>
    </row>
    <row r="25" spans="2:5" ht="27.75" customHeight="1" x14ac:dyDescent="0.3">
      <c r="B25" s="27" t="s">
        <v>48</v>
      </c>
      <c r="C25" s="27"/>
      <c r="D25" s="27"/>
      <c r="E25" s="27"/>
    </row>
  </sheetData>
  <mergeCells count="14">
    <mergeCell ref="B2:E2"/>
    <mergeCell ref="B3:E3"/>
    <mergeCell ref="B5:E5"/>
    <mergeCell ref="C6:E6"/>
    <mergeCell ref="D7:E7"/>
    <mergeCell ref="C21:E21"/>
    <mergeCell ref="C22:E22"/>
    <mergeCell ref="C23:E23"/>
    <mergeCell ref="B25:E25"/>
    <mergeCell ref="B15:C15"/>
    <mergeCell ref="B16:C16"/>
    <mergeCell ref="B18:E18"/>
    <mergeCell ref="C19:E19"/>
    <mergeCell ref="C20:E20"/>
  </mergeCells>
  <dataValidations count="1">
    <dataValidation type="decimal" errorTitle="Invalid score" error="Enter a score between 0% and 100%." promptTitle="Score this factor" prompt="0% = full risk remains  •  100% = risk fully addressed" sqref="D10:D14" xr:uid="{00000000-0002-0000-0100-000000000000}">
      <formula1>0</formula1>
      <formula2>1</formula2>
    </dataValidation>
  </dataValidations>
  <pageMargins left="0.75" right="0.75" top="1" bottom="1" header="0.511811023622047" footer="0.511811023622047"/>
  <pageSetup paperSize="9" orientation="portrait" horizontalDpi="300" verticalDpi="300"/>
  <ignoredErrors>
    <ignoredError sqref="B19:B23" numberStoredAsText="1"/>
  </ignoredErrors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Berkus Valuation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Asif Shukoor</cp:lastModifiedBy>
  <cp:revision>0</cp:revision>
  <dcterms:created xsi:type="dcterms:W3CDTF">2026-05-29T05:34:40Z</dcterms:created>
  <dcterms:modified xsi:type="dcterms:W3CDTF">2026-06-23T18:22:12Z</dcterms:modified>
  <dc:language>en-US</dc:language>
</cp:coreProperties>
</file>