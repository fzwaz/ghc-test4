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sifa\OneDrive\Documents\My Docs\GHC Growth Lab\Research &amp; Additional Docs\Community Engagement\Templates\Startup Valuation Templates\With GHC Watermark\"/>
    </mc:Choice>
  </mc:AlternateContent>
  <xr:revisionPtr revIDLastSave="0" documentId="13_ncr:1_{DDFE774E-3149-42DA-826B-CFB73EA4853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nstructions" sheetId="2" r:id="rId1"/>
    <sheet name="Inputs" sheetId="3" r:id="rId2"/>
    <sheet name="Valuation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4" l="1"/>
  <c r="D8" i="4" s="1"/>
  <c r="E8" i="4" s="1"/>
  <c r="D10" i="4"/>
  <c r="E10" i="4"/>
  <c r="C10" i="4"/>
  <c r="D6" i="4"/>
  <c r="E6" i="4"/>
  <c r="C6" i="4"/>
  <c r="D5" i="4"/>
  <c r="E5" i="4"/>
  <c r="E7" i="4" s="1"/>
  <c r="C5" i="4"/>
  <c r="C7" i="4" l="1"/>
  <c r="D7" i="4"/>
  <c r="D9" i="4" s="1"/>
  <c r="D11" i="4" s="1"/>
  <c r="C9" i="4"/>
  <c r="C11" i="4" s="1"/>
  <c r="E9" i="4"/>
  <c r="E11" i="4" s="1"/>
  <c r="C14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Asif Shukoor</author>
  </authors>
  <commentList>
    <comment ref="C5" authorId="0" shapeId="0" xr:uid="{B20B78BB-D850-4BD4-820D-E833139587E4}">
      <text>
        <r>
          <rPr>
            <sz val="9"/>
            <color indexed="81"/>
            <rFont val="Tahoma"/>
            <family val="2"/>
          </rPr>
          <t>Number of years until expected exit</t>
        </r>
      </text>
    </comment>
    <comment ref="C6" authorId="0" shapeId="0" xr:uid="{D9E6C3CE-159A-4D5D-B6B5-8D9968E2EB06}">
      <text>
        <r>
          <rPr>
            <sz val="9"/>
            <color indexed="81"/>
            <rFont val="Tahoma"/>
            <family val="2"/>
          </rPr>
          <t xml:space="preserve">Required return considering startup risk
</t>
        </r>
      </text>
    </comment>
    <comment ref="B14" authorId="0" shapeId="0" xr:uid="{2F63C327-5EAD-47D7-9EE9-FA6B07104710}">
      <text>
        <r>
          <rPr>
            <sz val="9"/>
            <color indexed="81"/>
            <rFont val="Tahoma"/>
            <family val="2"/>
          </rPr>
          <t xml:space="preserve">The sum of all 3 cases must equal to 100%
</t>
        </r>
      </text>
    </comment>
  </commentList>
</comments>
</file>

<file path=xl/sharedStrings.xml><?xml version="1.0" encoding="utf-8"?>
<sst xmlns="http://schemas.openxmlformats.org/spreadsheetml/2006/main" count="107" uniqueCount="80">
  <si>
    <t>Years to Exit</t>
  </si>
  <si>
    <t>Discount Rate (%)</t>
  </si>
  <si>
    <t>Revenue at Exit</t>
  </si>
  <si>
    <t>Revenue Multiple</t>
  </si>
  <si>
    <t>Probability (%)</t>
  </si>
  <si>
    <t>Step-by-Step Instructions</t>
  </si>
  <si>
    <t>Step</t>
  </si>
  <si>
    <t>Details</t>
  </si>
  <si>
    <r>
      <t xml:space="preserve">Enter the </t>
    </r>
    <r>
      <rPr>
        <b/>
        <sz val="11"/>
        <color theme="1"/>
        <rFont val="Calibri"/>
        <family val="2"/>
        <scheme val="minor"/>
      </rPr>
      <t>Years to Exit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Discount Rate (%)</t>
    </r>
    <r>
      <rPr>
        <sz val="11"/>
        <color theme="1"/>
        <rFont val="Calibri"/>
        <family val="2"/>
        <scheme val="minor"/>
      </rPr>
      <t xml:space="preserve"> under General Assumptions.</t>
    </r>
  </si>
  <si>
    <r>
      <t xml:space="preserve">Enter the projected </t>
    </r>
    <r>
      <rPr>
        <b/>
        <sz val="11"/>
        <color theme="1"/>
        <rFont val="Calibri"/>
        <family val="2"/>
        <scheme val="minor"/>
      </rPr>
      <t>Revenue at Exit</t>
    </r>
    <r>
      <rPr>
        <sz val="11"/>
        <color theme="1"/>
        <rFont val="Calibri"/>
        <family val="2"/>
        <scheme val="minor"/>
      </rPr>
      <t xml:space="preserve"> for the Best Case, Base Case, and Worst Case scenarios.</t>
    </r>
  </si>
  <si>
    <r>
      <t xml:space="preserve">Review the automatically calculated results in the </t>
    </r>
    <r>
      <rPr>
        <b/>
        <sz val="11"/>
        <color theme="1"/>
        <rFont val="Calibri"/>
        <family val="2"/>
        <scheme val="minor"/>
      </rPr>
      <t>Valuation</t>
    </r>
    <r>
      <rPr>
        <sz val="11"/>
        <color theme="1"/>
        <rFont val="Calibri"/>
        <family val="2"/>
        <scheme val="minor"/>
      </rPr>
      <t xml:space="preserve"> sheet.</t>
    </r>
  </si>
  <si>
    <t>Refer to the Industry Revenue Multiple Guide below if you need assistance selecting a revenue multiple.</t>
  </si>
  <si>
    <t>What Each Input Means</t>
  </si>
  <si>
    <t>Input</t>
  </si>
  <si>
    <t>Description</t>
  </si>
  <si>
    <t>Number of years until the expected exit event, acquisition, or liquidity event.</t>
  </si>
  <si>
    <t>Annual rate used to adjust future values for risk and time value of money.</t>
  </si>
  <si>
    <t>Expected annual revenue of the company at the time of exit.</t>
  </si>
  <si>
    <t>Revenue valuation multiple applied to estimate the company's exit value.</t>
  </si>
  <si>
    <t>Scenario Probability (%)</t>
  </si>
  <si>
    <t>Likelihood of each scenario occurring. Total probabilities must equal 100%.</t>
  </si>
  <si>
    <t>Important Guidelines</t>
  </si>
  <si>
    <t>Guideline</t>
  </si>
  <si>
    <t>Use Consistent Units</t>
  </si>
  <si>
    <t>Use the same monetary unit throughout the template (e.g., INR Lakhs, INR Crores, USD Millions).</t>
  </si>
  <si>
    <t>Probability Check</t>
  </si>
  <si>
    <t>Total probability across all scenarios must equal 100%.</t>
  </si>
  <si>
    <t>Use Realistic Assumptions</t>
  </si>
  <si>
    <t>Revenue projections, multiples, and probabilities should be based on reasonable expectations.</t>
  </si>
  <si>
    <t>Review Results Carefully</t>
  </si>
  <si>
    <t>The final valuation is only as reliable as the assumptions entered.</t>
  </si>
  <si>
    <t>Industry Revenue Multiple Reference Guide</t>
  </si>
  <si>
    <t>Industry</t>
  </si>
  <si>
    <t>Typical Revenue Multiple Range</t>
  </si>
  <si>
    <t>SaaS / Software</t>
  </si>
  <si>
    <t>3x – 8x</t>
  </si>
  <si>
    <t>AI / DeepTech</t>
  </si>
  <si>
    <t>4x – 10x</t>
  </si>
  <si>
    <t>FinTech</t>
  </si>
  <si>
    <t>Marketplace Platforms</t>
  </si>
  <si>
    <t>2x – 6x</t>
  </si>
  <si>
    <t>EdTech</t>
  </si>
  <si>
    <t>2x – 5x</t>
  </si>
  <si>
    <t>HealthTech</t>
  </si>
  <si>
    <t>D2C / Consumer Brands</t>
  </si>
  <si>
    <t>1x – 3x</t>
  </si>
  <si>
    <t>E-Commerce</t>
  </si>
  <si>
    <t>Food &amp; Beverage</t>
  </si>
  <si>
    <t>Logistics &amp; Supply Chain</t>
  </si>
  <si>
    <t>Manufacturing</t>
  </si>
  <si>
    <t>0.5x – 2x</t>
  </si>
  <si>
    <t>Professional Services</t>
  </si>
  <si>
    <t>Suggested Scenario Probability Allocation</t>
  </si>
  <si>
    <t>Scenario</t>
  </si>
  <si>
    <t>Typical Probability Range</t>
  </si>
  <si>
    <t>Best Case</t>
  </si>
  <si>
    <t>20% – 30%</t>
  </si>
  <si>
    <t>Base Case</t>
  </si>
  <si>
    <t>40% – 60%</t>
  </si>
  <si>
    <t>Worst Case</t>
  </si>
  <si>
    <t>Example Allocation:</t>
  </si>
  <si>
    <t>Example Probability</t>
  </si>
  <si>
    <t>Total</t>
  </si>
  <si>
    <t>General Assumptions</t>
  </si>
  <si>
    <t>Value</t>
  </si>
  <si>
    <t>Edit Light Blue Cells Only</t>
  </si>
  <si>
    <r>
      <t xml:space="preserve">Go to the </t>
    </r>
    <r>
      <rPr>
        <b/>
        <sz val="11"/>
        <color theme="1"/>
        <rFont val="Calibri"/>
        <family val="2"/>
        <scheme val="minor"/>
      </rPr>
      <t>Inputs</t>
    </r>
    <r>
      <rPr>
        <sz val="11"/>
        <color theme="1"/>
        <rFont val="Calibri"/>
        <family val="2"/>
        <scheme val="minor"/>
      </rPr>
      <t xml:space="preserve"> sheet and fill all highlighted Light Blue cells.</t>
    </r>
  </si>
  <si>
    <t>Light Blue cells are manual input cells. Other cells contain formulas and should not be modified.</t>
  </si>
  <si>
    <t>Scenario Assumptions</t>
  </si>
  <si>
    <t>Particulars</t>
  </si>
  <si>
    <t>First Chicago Valuation</t>
  </si>
  <si>
    <t>Exit Value</t>
  </si>
  <si>
    <t>Present Value Factor</t>
  </si>
  <si>
    <t>Present Value</t>
  </si>
  <si>
    <t>Probability Weighted Value</t>
  </si>
  <si>
    <t>Final Valuation</t>
  </si>
  <si>
    <t>Interpretation:</t>
  </si>
  <si>
    <t>This valuation represents the probability-weighted present value of the startup based on the Best Case, Base Case, and Worst Case scenarios entered in the Inputs sheet.</t>
  </si>
  <si>
    <r>
      <t xml:space="preserve">Enter the expected </t>
    </r>
    <r>
      <rPr>
        <b/>
        <sz val="11"/>
        <color theme="1"/>
        <rFont val="Calibri"/>
        <family val="2"/>
        <scheme val="minor"/>
      </rPr>
      <t>Revenue Multiple</t>
    </r>
    <r>
      <rPr>
        <sz val="11"/>
        <color theme="1"/>
        <rFont val="Calibri"/>
        <family val="2"/>
        <scheme val="minor"/>
      </rPr>
      <t xml:space="preserve"> for each scenario based on industry benchmarks and market conditions (Go through the Revenue multiple benchmarks table below for reference)</t>
    </r>
  </si>
  <si>
    <r>
      <t xml:space="preserve">Assign a probability (%) to each scenario. Ensure the total probability equals </t>
    </r>
    <r>
      <rPr>
        <b/>
        <sz val="11"/>
        <color theme="1"/>
        <rFont val="Calibri"/>
        <family val="2"/>
        <scheme val="minor"/>
      </rPr>
      <t xml:space="preserve">100% </t>
    </r>
    <r>
      <rPr>
        <sz val="11"/>
        <color theme="1"/>
        <rFont val="Calibri"/>
        <family val="2"/>
        <scheme val="minor"/>
      </rPr>
      <t>(Go through the Probability allocation table below for reference)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</si>
</sst>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General\ &quot;years&quot;"/>
    <numFmt numFmtId="165" formatCode="0.0000"/>
    <numFmt numFmtId="166" formatCode="#,##0;\(#,##0\);\-"/>
    <numFmt numFmtId="167" formatCode="#,##0&quot;x&quot;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2E5E4E"/>
        <bgColor indexed="64"/>
      </patternFill>
    </fill>
    <fill>
      <patternFill patternType="solid">
        <fgColor rgb="FFE7F0EB"/>
        <bgColor indexed="64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4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9" fontId="0" fillId="0" borderId="3" xfId="0" applyNumberForma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9" fontId="3" fillId="0" borderId="2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166" fontId="3" fillId="0" borderId="2" xfId="0" applyNumberFormat="1" applyFon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3" fillId="0" borderId="4" xfId="0" applyFont="1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9" fontId="0" fillId="7" borderId="1" xfId="1" applyFont="1" applyFill="1" applyBorder="1" applyAlignment="1">
      <alignment horizontal="center" vertical="center"/>
    </xf>
    <xf numFmtId="3" fontId="0" fillId="7" borderId="1" xfId="0" applyNumberFormat="1" applyFill="1" applyBorder="1" applyAlignment="1">
      <alignment horizontal="center" vertical="center"/>
    </xf>
    <xf numFmtId="167" fontId="0" fillId="7" borderId="1" xfId="0" applyNumberFormat="1" applyFill="1" applyBorder="1" applyAlignment="1">
      <alignment horizontal="center" vertical="center"/>
    </xf>
    <xf numFmtId="166" fontId="3" fillId="5" borderId="1" xfId="0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2E5E4E"/>
      <color rgb="FFE7F0EB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705AD-0FCB-4253-9DCB-A9ADBC1F9D0B}">
  <dimension ref="B2:C62"/>
  <sheetViews>
    <sheetView showGridLines="0" tabSelected="1" workbookViewId="0">
      <selection activeCell="C13" sqref="C13"/>
    </sheetView>
  </sheetViews>
  <sheetFormatPr defaultRowHeight="14.4" x14ac:dyDescent="0.3"/>
  <cols>
    <col min="1" max="1" width="1.77734375" customWidth="1"/>
    <col min="2" max="2" width="22.33203125" customWidth="1"/>
    <col min="3" max="3" width="92.33203125" bestFit="1" customWidth="1"/>
  </cols>
  <sheetData>
    <row r="2" spans="2:3" ht="18" x14ac:dyDescent="0.35">
      <c r="B2" s="1" t="s">
        <v>5</v>
      </c>
    </row>
    <row r="4" spans="2:3" x14ac:dyDescent="0.3">
      <c r="B4" s="29" t="s">
        <v>6</v>
      </c>
      <c r="C4" s="30" t="s">
        <v>7</v>
      </c>
    </row>
    <row r="5" spans="2:3" x14ac:dyDescent="0.3">
      <c r="B5" s="31">
        <v>1</v>
      </c>
      <c r="C5" s="32" t="s">
        <v>66</v>
      </c>
    </row>
    <row r="6" spans="2:3" x14ac:dyDescent="0.3">
      <c r="B6" s="31">
        <v>2</v>
      </c>
      <c r="C6" s="32" t="s">
        <v>8</v>
      </c>
    </row>
    <row r="7" spans="2:3" x14ac:dyDescent="0.3">
      <c r="B7" s="31">
        <v>3</v>
      </c>
      <c r="C7" s="32" t="s">
        <v>9</v>
      </c>
    </row>
    <row r="8" spans="2:3" ht="28.8" x14ac:dyDescent="0.3">
      <c r="B8" s="31">
        <v>4</v>
      </c>
      <c r="C8" s="32" t="s">
        <v>78</v>
      </c>
    </row>
    <row r="9" spans="2:3" ht="28.8" x14ac:dyDescent="0.3">
      <c r="B9" s="31">
        <v>5</v>
      </c>
      <c r="C9" s="32" t="s">
        <v>79</v>
      </c>
    </row>
    <row r="10" spans="2:3" x14ac:dyDescent="0.3">
      <c r="B10" s="31">
        <v>6</v>
      </c>
      <c r="C10" s="32" t="s">
        <v>10</v>
      </c>
    </row>
    <row r="11" spans="2:3" x14ac:dyDescent="0.3">
      <c r="B11" s="31">
        <v>7</v>
      </c>
      <c r="C11" s="32" t="s">
        <v>11</v>
      </c>
    </row>
    <row r="14" spans="2:3" ht="18" x14ac:dyDescent="0.35">
      <c r="B14" s="1" t="s">
        <v>12</v>
      </c>
    </row>
    <row r="16" spans="2:3" x14ac:dyDescent="0.3">
      <c r="B16" s="4" t="s">
        <v>13</v>
      </c>
      <c r="C16" s="4" t="s">
        <v>14</v>
      </c>
    </row>
    <row r="17" spans="2:3" x14ac:dyDescent="0.3">
      <c r="B17" s="3" t="s">
        <v>0</v>
      </c>
      <c r="C17" s="3" t="s">
        <v>15</v>
      </c>
    </row>
    <row r="18" spans="2:3" x14ac:dyDescent="0.3">
      <c r="B18" s="3" t="s">
        <v>1</v>
      </c>
      <c r="C18" s="3" t="s">
        <v>16</v>
      </c>
    </row>
    <row r="19" spans="2:3" x14ac:dyDescent="0.3">
      <c r="B19" s="3" t="s">
        <v>2</v>
      </c>
      <c r="C19" s="3" t="s">
        <v>17</v>
      </c>
    </row>
    <row r="20" spans="2:3" x14ac:dyDescent="0.3">
      <c r="B20" s="3" t="s">
        <v>3</v>
      </c>
      <c r="C20" s="3" t="s">
        <v>18</v>
      </c>
    </row>
    <row r="21" spans="2:3" x14ac:dyDescent="0.3">
      <c r="B21" s="3" t="s">
        <v>19</v>
      </c>
      <c r="C21" s="3" t="s">
        <v>20</v>
      </c>
    </row>
    <row r="24" spans="2:3" ht="18" x14ac:dyDescent="0.3">
      <c r="B24" s="6" t="s">
        <v>21</v>
      </c>
    </row>
    <row r="26" spans="2:3" x14ac:dyDescent="0.3">
      <c r="B26" s="4" t="s">
        <v>22</v>
      </c>
      <c r="C26" s="4" t="s">
        <v>14</v>
      </c>
    </row>
    <row r="27" spans="2:3" x14ac:dyDescent="0.3">
      <c r="B27" s="3" t="s">
        <v>65</v>
      </c>
      <c r="C27" s="3" t="s">
        <v>67</v>
      </c>
    </row>
    <row r="28" spans="2:3" x14ac:dyDescent="0.3">
      <c r="B28" s="3" t="s">
        <v>23</v>
      </c>
      <c r="C28" s="3" t="s">
        <v>24</v>
      </c>
    </row>
    <row r="29" spans="2:3" x14ac:dyDescent="0.3">
      <c r="B29" s="3" t="s">
        <v>25</v>
      </c>
      <c r="C29" s="3" t="s">
        <v>26</v>
      </c>
    </row>
    <row r="30" spans="2:3" x14ac:dyDescent="0.3">
      <c r="B30" s="3" t="s">
        <v>27</v>
      </c>
      <c r="C30" s="3" t="s">
        <v>28</v>
      </c>
    </row>
    <row r="31" spans="2:3" x14ac:dyDescent="0.3">
      <c r="B31" s="3" t="s">
        <v>29</v>
      </c>
      <c r="C31" s="3" t="s">
        <v>30</v>
      </c>
    </row>
    <row r="34" spans="2:3" ht="18" x14ac:dyDescent="0.3">
      <c r="B34" s="6" t="s">
        <v>31</v>
      </c>
    </row>
    <row r="36" spans="2:3" x14ac:dyDescent="0.3">
      <c r="B36" s="7" t="s">
        <v>32</v>
      </c>
      <c r="C36" s="8" t="s">
        <v>33</v>
      </c>
    </row>
    <row r="37" spans="2:3" x14ac:dyDescent="0.3">
      <c r="B37" s="3" t="s">
        <v>34</v>
      </c>
      <c r="C37" s="2" t="s">
        <v>35</v>
      </c>
    </row>
    <row r="38" spans="2:3" x14ac:dyDescent="0.3">
      <c r="B38" s="3" t="s">
        <v>36</v>
      </c>
      <c r="C38" s="2" t="s">
        <v>37</v>
      </c>
    </row>
    <row r="39" spans="2:3" x14ac:dyDescent="0.3">
      <c r="B39" s="3" t="s">
        <v>38</v>
      </c>
      <c r="C39" s="2" t="s">
        <v>35</v>
      </c>
    </row>
    <row r="40" spans="2:3" x14ac:dyDescent="0.3">
      <c r="B40" s="3" t="s">
        <v>39</v>
      </c>
      <c r="C40" s="2" t="s">
        <v>40</v>
      </c>
    </row>
    <row r="41" spans="2:3" x14ac:dyDescent="0.3">
      <c r="B41" s="3" t="s">
        <v>41</v>
      </c>
      <c r="C41" s="2" t="s">
        <v>42</v>
      </c>
    </row>
    <row r="42" spans="2:3" x14ac:dyDescent="0.3">
      <c r="B42" s="3" t="s">
        <v>43</v>
      </c>
      <c r="C42" s="2" t="s">
        <v>40</v>
      </c>
    </row>
    <row r="43" spans="2:3" x14ac:dyDescent="0.3">
      <c r="B43" s="3" t="s">
        <v>44</v>
      </c>
      <c r="C43" s="2" t="s">
        <v>45</v>
      </c>
    </row>
    <row r="44" spans="2:3" x14ac:dyDescent="0.3">
      <c r="B44" s="3" t="s">
        <v>46</v>
      </c>
      <c r="C44" s="2" t="s">
        <v>45</v>
      </c>
    </row>
    <row r="45" spans="2:3" x14ac:dyDescent="0.3">
      <c r="B45" s="3" t="s">
        <v>47</v>
      </c>
      <c r="C45" s="2" t="s">
        <v>45</v>
      </c>
    </row>
    <row r="46" spans="2:3" x14ac:dyDescent="0.3">
      <c r="B46" s="3" t="s">
        <v>48</v>
      </c>
      <c r="C46" s="2" t="s">
        <v>45</v>
      </c>
    </row>
    <row r="47" spans="2:3" x14ac:dyDescent="0.3">
      <c r="B47" s="3" t="s">
        <v>49</v>
      </c>
      <c r="C47" s="2" t="s">
        <v>50</v>
      </c>
    </row>
    <row r="48" spans="2:3" x14ac:dyDescent="0.3">
      <c r="B48" s="3" t="s">
        <v>51</v>
      </c>
      <c r="C48" s="2" t="s">
        <v>50</v>
      </c>
    </row>
    <row r="50" spans="2:3" ht="18" x14ac:dyDescent="0.3">
      <c r="B50" s="6" t="s">
        <v>52</v>
      </c>
    </row>
    <row r="52" spans="2:3" x14ac:dyDescent="0.3">
      <c r="B52" s="7" t="s">
        <v>53</v>
      </c>
      <c r="C52" s="8" t="s">
        <v>54</v>
      </c>
    </row>
    <row r="53" spans="2:3" x14ac:dyDescent="0.3">
      <c r="B53" s="3" t="s">
        <v>55</v>
      </c>
      <c r="C53" s="2" t="s">
        <v>56</v>
      </c>
    </row>
    <row r="54" spans="2:3" x14ac:dyDescent="0.3">
      <c r="B54" s="3" t="s">
        <v>57</v>
      </c>
      <c r="C54" s="2" t="s">
        <v>58</v>
      </c>
    </row>
    <row r="55" spans="2:3" x14ac:dyDescent="0.3">
      <c r="B55" s="3" t="s">
        <v>59</v>
      </c>
      <c r="C55" s="2" t="s">
        <v>56</v>
      </c>
    </row>
    <row r="57" spans="2:3" x14ac:dyDescent="0.3">
      <c r="B57" s="5" t="s">
        <v>60</v>
      </c>
    </row>
    <row r="58" spans="2:3" x14ac:dyDescent="0.3">
      <c r="B58" s="14" t="s">
        <v>53</v>
      </c>
      <c r="C58" s="15" t="s">
        <v>61</v>
      </c>
    </row>
    <row r="59" spans="2:3" x14ac:dyDescent="0.3">
      <c r="B59" s="3" t="s">
        <v>55</v>
      </c>
      <c r="C59" s="9">
        <v>0.25</v>
      </c>
    </row>
    <row r="60" spans="2:3" x14ac:dyDescent="0.3">
      <c r="B60" s="3" t="s">
        <v>57</v>
      </c>
      <c r="C60" s="9">
        <v>0.5</v>
      </c>
    </row>
    <row r="61" spans="2:3" x14ac:dyDescent="0.3">
      <c r="B61" s="10" t="s">
        <v>59</v>
      </c>
      <c r="C61" s="11">
        <v>0.25</v>
      </c>
    </row>
    <row r="62" spans="2:3" ht="15" thickBot="1" x14ac:dyDescent="0.35">
      <c r="B62" s="12" t="s">
        <v>62</v>
      </c>
      <c r="C62" s="13">
        <v>1</v>
      </c>
    </row>
  </sheetData>
  <pageMargins left="0.7" right="0.7" top="0.75" bottom="0.75" header="0.3" footer="0.3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2DAD8-8645-45F0-8117-4268E67D0870}">
  <dimension ref="B2:E14"/>
  <sheetViews>
    <sheetView showGridLines="0" zoomScale="115" zoomScaleNormal="115" workbookViewId="0">
      <selection activeCell="E20" sqref="E20"/>
    </sheetView>
  </sheetViews>
  <sheetFormatPr defaultRowHeight="14.4" x14ac:dyDescent="0.3"/>
  <cols>
    <col min="1" max="1" width="1.77734375" customWidth="1"/>
    <col min="2" max="2" width="18.88671875" bestFit="1" customWidth="1"/>
    <col min="3" max="5" width="16.77734375" customWidth="1"/>
  </cols>
  <sheetData>
    <row r="2" spans="2:5" ht="18" x14ac:dyDescent="0.35">
      <c r="B2" s="1" t="s">
        <v>63</v>
      </c>
    </row>
    <row r="4" spans="2:5" x14ac:dyDescent="0.3">
      <c r="B4" s="33" t="s">
        <v>63</v>
      </c>
      <c r="C4" s="34" t="s">
        <v>64</v>
      </c>
    </row>
    <row r="5" spans="2:5" x14ac:dyDescent="0.3">
      <c r="B5" s="3" t="s">
        <v>0</v>
      </c>
      <c r="C5" s="35">
        <v>5</v>
      </c>
    </row>
    <row r="6" spans="2:5" x14ac:dyDescent="0.3">
      <c r="B6" s="3" t="s">
        <v>1</v>
      </c>
      <c r="C6" s="36">
        <v>0.15</v>
      </c>
    </row>
    <row r="9" spans="2:5" ht="18" x14ac:dyDescent="0.35">
      <c r="B9" s="1" t="s">
        <v>68</v>
      </c>
    </row>
    <row r="11" spans="2:5" x14ac:dyDescent="0.3">
      <c r="B11" s="33" t="s">
        <v>69</v>
      </c>
      <c r="C11" s="34" t="s">
        <v>55</v>
      </c>
      <c r="D11" s="34" t="s">
        <v>57</v>
      </c>
      <c r="E11" s="34" t="s">
        <v>59</v>
      </c>
    </row>
    <row r="12" spans="2:5" x14ac:dyDescent="0.3">
      <c r="B12" s="3" t="s">
        <v>2</v>
      </c>
      <c r="C12" s="37">
        <v>2000000</v>
      </c>
      <c r="D12" s="37">
        <v>1800000</v>
      </c>
      <c r="E12" s="37">
        <v>1500000</v>
      </c>
    </row>
    <row r="13" spans="2:5" x14ac:dyDescent="0.3">
      <c r="B13" s="3" t="s">
        <v>3</v>
      </c>
      <c r="C13" s="38">
        <v>6</v>
      </c>
      <c r="D13" s="38">
        <v>4</v>
      </c>
      <c r="E13" s="38">
        <v>2</v>
      </c>
    </row>
    <row r="14" spans="2:5" x14ac:dyDescent="0.3">
      <c r="B14" s="3" t="s">
        <v>4</v>
      </c>
      <c r="C14" s="36">
        <v>0.25</v>
      </c>
      <c r="D14" s="36">
        <v>0.4</v>
      </c>
      <c r="E14" s="36">
        <v>0.35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31B45-E21E-4522-88A6-B1431937A6E4}">
  <dimension ref="B2:L18"/>
  <sheetViews>
    <sheetView showGridLines="0" zoomScale="115" zoomScaleNormal="115" workbookViewId="0">
      <selection activeCell="C15" sqref="C15"/>
    </sheetView>
  </sheetViews>
  <sheetFormatPr defaultRowHeight="14.4" x14ac:dyDescent="0.3"/>
  <cols>
    <col min="1" max="1" width="1.77734375" customWidth="1"/>
    <col min="2" max="2" width="26.109375" bestFit="1" customWidth="1"/>
    <col min="3" max="5" width="16.77734375" style="16" customWidth="1"/>
  </cols>
  <sheetData>
    <row r="2" spans="2:5" ht="18" x14ac:dyDescent="0.35">
      <c r="B2" s="1" t="s">
        <v>70</v>
      </c>
    </row>
    <row r="4" spans="2:5" x14ac:dyDescent="0.3">
      <c r="B4" s="33" t="s">
        <v>69</v>
      </c>
      <c r="C4" s="34" t="s">
        <v>55</v>
      </c>
      <c r="D4" s="34" t="s">
        <v>57</v>
      </c>
      <c r="E4" s="34" t="s">
        <v>59</v>
      </c>
    </row>
    <row r="5" spans="2:5" x14ac:dyDescent="0.3">
      <c r="B5" s="3" t="s">
        <v>2</v>
      </c>
      <c r="C5" s="20">
        <f>Inputs!C12</f>
        <v>2000000</v>
      </c>
      <c r="D5" s="20">
        <f>Inputs!D12</f>
        <v>1800000</v>
      </c>
      <c r="E5" s="20">
        <f>Inputs!E12</f>
        <v>1500000</v>
      </c>
    </row>
    <row r="6" spans="2:5" x14ac:dyDescent="0.3">
      <c r="B6" s="3" t="s">
        <v>3</v>
      </c>
      <c r="C6" s="20">
        <f>Inputs!C13</f>
        <v>6</v>
      </c>
      <c r="D6" s="20">
        <f>Inputs!D13</f>
        <v>4</v>
      </c>
      <c r="E6" s="20">
        <f>Inputs!E13</f>
        <v>2</v>
      </c>
    </row>
    <row r="7" spans="2:5" x14ac:dyDescent="0.3">
      <c r="B7" s="3" t="s">
        <v>71</v>
      </c>
      <c r="C7" s="20">
        <f>C5*C6</f>
        <v>12000000</v>
      </c>
      <c r="D7" s="20">
        <f t="shared" ref="D7:E7" si="0">D5*D6</f>
        <v>7200000</v>
      </c>
      <c r="E7" s="20">
        <f t="shared" si="0"/>
        <v>3000000</v>
      </c>
    </row>
    <row r="8" spans="2:5" x14ac:dyDescent="0.3">
      <c r="B8" s="3" t="s">
        <v>72</v>
      </c>
      <c r="C8" s="17">
        <f>1/(1+Inputs!C6)^Inputs!C5</f>
        <v>0.49717673529828987</v>
      </c>
      <c r="D8" s="17">
        <f>C8</f>
        <v>0.49717673529828987</v>
      </c>
      <c r="E8" s="17">
        <f>D8</f>
        <v>0.49717673529828987</v>
      </c>
    </row>
    <row r="9" spans="2:5" x14ac:dyDescent="0.3">
      <c r="B9" s="3" t="s">
        <v>73</v>
      </c>
      <c r="C9" s="20">
        <f>C7*C8</f>
        <v>5966120.8235794781</v>
      </c>
      <c r="D9" s="20">
        <f t="shared" ref="D9:E9" si="1">D7*D8</f>
        <v>3579672.4941476872</v>
      </c>
      <c r="E9" s="20">
        <f t="shared" si="1"/>
        <v>1491530.2058948695</v>
      </c>
    </row>
    <row r="10" spans="2:5" x14ac:dyDescent="0.3">
      <c r="B10" s="10" t="s">
        <v>4</v>
      </c>
      <c r="C10" s="11">
        <f>Inputs!C14</f>
        <v>0.25</v>
      </c>
      <c r="D10" s="11">
        <f>Inputs!D14</f>
        <v>0.4</v>
      </c>
      <c r="E10" s="11">
        <f>Inputs!E14</f>
        <v>0.35</v>
      </c>
    </row>
    <row r="11" spans="2:5" ht="15" thickBot="1" x14ac:dyDescent="0.35">
      <c r="B11" s="12" t="s">
        <v>74</v>
      </c>
      <c r="C11" s="19">
        <f>C9*C10</f>
        <v>1491530.2058948695</v>
      </c>
      <c r="D11" s="19">
        <f t="shared" ref="D11:E11" si="2">D9*D10</f>
        <v>1431868.9976590751</v>
      </c>
      <c r="E11" s="19">
        <f t="shared" si="2"/>
        <v>522035.57206320431</v>
      </c>
    </row>
    <row r="14" spans="2:5" x14ac:dyDescent="0.3">
      <c r="B14" s="18" t="s">
        <v>75</v>
      </c>
      <c r="C14" s="39">
        <f>SUM(C11:E11)</f>
        <v>3445434.7756171492</v>
      </c>
      <c r="D14" s="39"/>
      <c r="E14" s="39"/>
    </row>
    <row r="17" spans="2:12" x14ac:dyDescent="0.3">
      <c r="B17" s="21" t="s">
        <v>76</v>
      </c>
      <c r="C17" s="22"/>
      <c r="D17" s="22"/>
      <c r="E17" s="22"/>
      <c r="F17" s="23"/>
      <c r="G17" s="23"/>
      <c r="H17" s="23"/>
      <c r="I17" s="23"/>
      <c r="J17" s="23"/>
      <c r="K17" s="23"/>
      <c r="L17" s="24"/>
    </row>
    <row r="18" spans="2:12" x14ac:dyDescent="0.3">
      <c r="B18" s="25" t="s">
        <v>77</v>
      </c>
      <c r="C18" s="26"/>
      <c r="D18" s="26"/>
      <c r="E18" s="26"/>
      <c r="F18" s="27"/>
      <c r="G18" s="27"/>
      <c r="H18" s="27"/>
      <c r="I18" s="27"/>
      <c r="J18" s="27"/>
      <c r="K18" s="27"/>
      <c r="L18" s="28"/>
    </row>
  </sheetData>
  <mergeCells count="1">
    <mergeCell ref="C14:E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Inputs</vt:lpstr>
      <vt:lpstr>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Asif Shukoor</dc:creator>
  <cp:lastModifiedBy>Asif Shukoor</cp:lastModifiedBy>
  <dcterms:created xsi:type="dcterms:W3CDTF">2015-06-05T18:17:20Z</dcterms:created>
  <dcterms:modified xsi:type="dcterms:W3CDTF">2026-06-23T18:25:10Z</dcterms:modified>
</cp:coreProperties>
</file>