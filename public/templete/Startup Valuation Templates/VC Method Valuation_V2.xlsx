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ifa\OneDrive\Documents\My Docs\GHC Growth Lab\Research &amp; Additional Docs\Community Engagement\Templates\Startup Valuation Templates\With GHC Watermark\"/>
    </mc:Choice>
  </mc:AlternateContent>
  <xr:revisionPtr revIDLastSave="0" documentId="13_ncr:1_{4299E176-95B9-4193-87D8-52B4EBD22D96}" xr6:coauthVersionLast="47" xr6:coauthVersionMax="47" xr10:uidLastSave="{00000000-0000-0000-0000-000000000000}"/>
  <bookViews>
    <workbookView xWindow="-108" yWindow="-108" windowWidth="23256" windowHeight="13896" tabRatio="637" xr2:uid="{00000000-000D-0000-FFFF-FFFF00000000}"/>
  </bookViews>
  <sheets>
    <sheet name="Instructions - VC Method" sheetId="8" r:id="rId1"/>
    <sheet name="Cover" sheetId="1" r:id="rId2"/>
    <sheet name="Inputs" sheetId="2" r:id="rId3"/>
    <sheet name="VC Method" sheetId="3" r:id="rId4"/>
    <sheet name="Cap Table" sheetId="4" r:id="rId5"/>
    <sheet name="Investor Returns" sheetId="5" r:id="rId6"/>
    <sheet name="Dashboard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7" l="1"/>
  <c r="E12" i="7"/>
  <c r="D12" i="7"/>
  <c r="C12" i="7"/>
  <c r="F11" i="7"/>
  <c r="E11" i="7"/>
  <c r="D11" i="7"/>
  <c r="C11" i="7"/>
  <c r="F10" i="7"/>
  <c r="E10" i="7"/>
  <c r="D10" i="7"/>
  <c r="C10" i="7"/>
  <c r="F9" i="7"/>
  <c r="E9" i="7"/>
  <c r="D9" i="7"/>
  <c r="C9" i="7"/>
  <c r="J4" i="7"/>
  <c r="E8" i="5"/>
  <c r="F8" i="5" s="1"/>
  <c r="D8" i="5"/>
  <c r="E7" i="5"/>
  <c r="F7" i="5" s="1"/>
  <c r="D7" i="5"/>
  <c r="E6" i="5"/>
  <c r="F6" i="5" s="1"/>
  <c r="D6" i="5"/>
  <c r="E5" i="5"/>
  <c r="F5" i="5" s="1"/>
  <c r="D5" i="5"/>
  <c r="D11" i="4"/>
  <c r="E11" i="4" s="1"/>
  <c r="F11" i="4" s="1"/>
  <c r="G11" i="4" s="1"/>
  <c r="G10" i="4"/>
  <c r="F9" i="4"/>
  <c r="G9" i="4" s="1"/>
  <c r="C7" i="5" s="1"/>
  <c r="G7" i="5" s="1"/>
  <c r="E8" i="4"/>
  <c r="F8" i="4" s="1"/>
  <c r="G8" i="4" s="1"/>
  <c r="D7" i="4"/>
  <c r="E7" i="4" s="1"/>
  <c r="F7" i="4" s="1"/>
  <c r="G7" i="4" s="1"/>
  <c r="C6" i="4"/>
  <c r="C5" i="4"/>
  <c r="D5" i="4" s="1"/>
  <c r="F23" i="3"/>
  <c r="E23" i="3"/>
  <c r="D23" i="3"/>
  <c r="C23" i="3"/>
  <c r="F13" i="3"/>
  <c r="E13" i="3"/>
  <c r="D13" i="3"/>
  <c r="C13" i="3"/>
  <c r="F12" i="3"/>
  <c r="E12" i="3"/>
  <c r="D12" i="3"/>
  <c r="C12" i="3"/>
  <c r="F11" i="3"/>
  <c r="E11" i="3"/>
  <c r="D11" i="3"/>
  <c r="C11" i="3"/>
  <c r="F7" i="3"/>
  <c r="E7" i="3"/>
  <c r="D7" i="3"/>
  <c r="C7" i="3"/>
  <c r="F6" i="3"/>
  <c r="E6" i="3"/>
  <c r="D6" i="3"/>
  <c r="C6" i="3"/>
  <c r="E14" i="3" l="1"/>
  <c r="F14" i="3"/>
  <c r="C15" i="4"/>
  <c r="C8" i="3"/>
  <c r="C17" i="3" s="1"/>
  <c r="D10" i="5"/>
  <c r="C14" i="3"/>
  <c r="D8" i="3"/>
  <c r="D17" i="3" s="1"/>
  <c r="D21" i="3" s="1"/>
  <c r="D22" i="3" s="1"/>
  <c r="D14" i="3"/>
  <c r="E8" i="3"/>
  <c r="E17" i="3" s="1"/>
  <c r="F8" i="3"/>
  <c r="F17" i="3" s="1"/>
  <c r="C5" i="5"/>
  <c r="G5" i="5" s="1"/>
  <c r="C6" i="5"/>
  <c r="G6" i="5" s="1"/>
  <c r="C18" i="3"/>
  <c r="C21" i="3"/>
  <c r="C22" i="3" s="1"/>
  <c r="E13" i="7"/>
  <c r="H7" i="5"/>
  <c r="I7" i="5"/>
  <c r="E5" i="4"/>
  <c r="D6" i="4"/>
  <c r="E6" i="4" s="1"/>
  <c r="F6" i="4" s="1"/>
  <c r="G6" i="4" s="1"/>
  <c r="C8" i="5"/>
  <c r="G8" i="5" s="1"/>
  <c r="C13" i="4"/>
  <c r="D18" i="3" l="1"/>
  <c r="F21" i="3"/>
  <c r="F22" i="3" s="1"/>
  <c r="F18" i="3"/>
  <c r="E21" i="3"/>
  <c r="E22" i="3" s="1"/>
  <c r="E25" i="3" s="1"/>
  <c r="E18" i="3"/>
  <c r="D13" i="4"/>
  <c r="C24" i="3"/>
  <c r="C25" i="3"/>
  <c r="F13" i="7"/>
  <c r="I8" i="5"/>
  <c r="H8" i="5"/>
  <c r="I5" i="5"/>
  <c r="B4" i="7" s="1"/>
  <c r="G10" i="5"/>
  <c r="H5" i="5"/>
  <c r="C13" i="7"/>
  <c r="E19" i="7"/>
  <c r="E14" i="7"/>
  <c r="F5" i="4"/>
  <c r="E15" i="4"/>
  <c r="E13" i="4"/>
  <c r="D24" i="3"/>
  <c r="D25" i="3"/>
  <c r="F25" i="3"/>
  <c r="F24" i="3"/>
  <c r="D13" i="7"/>
  <c r="I6" i="5"/>
  <c r="H6" i="5"/>
  <c r="D15" i="4"/>
  <c r="E24" i="3" l="1"/>
  <c r="F15" i="4"/>
  <c r="G5" i="4"/>
  <c r="F13" i="4"/>
  <c r="C14" i="7"/>
  <c r="C19" i="7"/>
  <c r="D14" i="7"/>
  <c r="D19" i="7"/>
  <c r="F19" i="7"/>
  <c r="F14" i="7"/>
  <c r="D4" i="7"/>
  <c r="H10" i="5"/>
  <c r="F4" i="7" l="1"/>
  <c r="G15" i="4"/>
  <c r="H4" i="7" s="1"/>
  <c r="G13" i="4"/>
</calcChain>
</file>

<file path=xl/sharedStrings.xml><?xml version="1.0" encoding="utf-8"?>
<sst xmlns="http://schemas.openxmlformats.org/spreadsheetml/2006/main" count="158" uniqueCount="131">
  <si>
    <t>VENTURE CAPITAL
METHOD
Startup Valuation Model</t>
  </si>
  <si>
    <t xml:space="preserve">  1  INPUTS</t>
  </si>
  <si>
    <t xml:space="preserve">    All assumptions — revenue, exit multiples, round sizes, required returns</t>
  </si>
  <si>
    <t xml:space="preserve">  2  VC METHOD</t>
  </si>
  <si>
    <t xml:space="preserve">  3  CAP TABLE</t>
  </si>
  <si>
    <t xml:space="preserve">    Round-by-round ownership: founders, investors, ESOP after each round</t>
  </si>
  <si>
    <t xml:space="preserve">  4  INVESTOR RETURNS</t>
  </si>
  <si>
    <t xml:space="preserve">    Exit proceeds, MOIC and IRR for every investor at the base exit</t>
  </si>
  <si>
    <t xml:space="preserve">    Summary KPIs: IRR, MOIC, ownership, absolute gain, exit snapshot</t>
  </si>
  <si>
    <t xml:space="preserve">  COLOR LEGEND</t>
  </si>
  <si>
    <t xml:space="preserve">  Blue   — hardcoded input. Change these to model your startup.</t>
  </si>
  <si>
    <t xml:space="preserve">  Black  — formula / calculated cell. Do not overwrite.</t>
  </si>
  <si>
    <t xml:space="preserve">  Green  — cross-sheet link pulling data from another tab.</t>
  </si>
  <si>
    <t>INPUTS</t>
  </si>
  <si>
    <t xml:space="preserve">  COMPANY &amp; EXIT ASSUMPTIONS</t>
  </si>
  <si>
    <t xml:space="preserve">  ROUND ASSUMPTIONS</t>
  </si>
  <si>
    <t>Seed</t>
  </si>
  <si>
    <t>Series A</t>
  </si>
  <si>
    <t>Series B</t>
  </si>
  <si>
    <t>Series C</t>
  </si>
  <si>
    <t>Projected Revenue at Exit ($)</t>
  </si>
  <si>
    <t>Investment ($)</t>
  </si>
  <si>
    <t>Pre-Money Valuation ($)</t>
  </si>
  <si>
    <t>Round Year</t>
  </si>
  <si>
    <t>ESOP Pool This Round (%)</t>
  </si>
  <si>
    <t>Years to Exit (from today)</t>
  </si>
  <si>
    <t xml:space="preserve">  INVESTOR RETURN REQUIREMENTS</t>
  </si>
  <si>
    <t xml:space="preserve">  VC METHOD ASSUMPTIONS</t>
  </si>
  <si>
    <t>Required IRR (%)</t>
  </si>
  <si>
    <t>Required Return Multiple (target MOIC)</t>
  </si>
  <si>
    <t>Target MOIC (x)</t>
  </si>
  <si>
    <t>Expected Dilution from Future Rounds</t>
  </si>
  <si>
    <t xml:space="preserve">  FOUNDERS</t>
  </si>
  <si>
    <t>Founder 1 Name</t>
  </si>
  <si>
    <t>Founder 1</t>
  </si>
  <si>
    <t>Founder 2 Name</t>
  </si>
  <si>
    <t>Founder 2</t>
  </si>
  <si>
    <t>Founder 1 Initial Ownership (%)</t>
  </si>
  <si>
    <t>Founder 2 Initial Ownership (%)</t>
  </si>
  <si>
    <t>VC METHOD  —  Implied Valuation Calculator</t>
  </si>
  <si>
    <t>The VC Method works backward from a future exit: Exit Value ÷ Required Return = Implied Post-Money.  Implied Pre-Money = Implied Post-Money − Investment.  Blue = input  |  Black = formula  |  Green = cross-sheet link.</t>
  </si>
  <si>
    <t>METRIC</t>
  </si>
  <si>
    <t xml:space="preserve">  STEP 1 — FORECAST THE EXIT VALUE</t>
  </si>
  <si>
    <t xml:space="preserve">  STEP 2 — DISCOUNT BACK TO TODAY</t>
  </si>
  <si>
    <t>Years to Exit from This Round</t>
  </si>
  <si>
    <t xml:space="preserve">  STEP 3 — IMPLIED OWNERSHIP REQUIRED</t>
  </si>
  <si>
    <t xml:space="preserve">  STEP 4 — IMPLIED PRE-MONEY VALUATION</t>
  </si>
  <si>
    <t>VC Method Verdict</t>
  </si>
  <si>
    <t>CAP TABLE  —  Fully-Diluted Ownership at Each Round</t>
  </si>
  <si>
    <t>Ownership % of fully-diluted share count.  Each round: new investor % + ESOP top-up dilutes all prior holders proportionally.</t>
  </si>
  <si>
    <t>STAKEHOLDER</t>
  </si>
  <si>
    <t>Pre-Seed
(Today)</t>
  </si>
  <si>
    <t>Post-Seed</t>
  </si>
  <si>
    <t>Post-Ser A</t>
  </si>
  <si>
    <t>Post-Ser B</t>
  </si>
  <si>
    <t>Post-Ser C</t>
  </si>
  <si>
    <t>Seed Investors</t>
  </si>
  <si>
    <t>Series A Investors</t>
  </si>
  <si>
    <t>Series B Investors</t>
  </si>
  <si>
    <t>Series C Investors</t>
  </si>
  <si>
    <t>ESOP Pool</t>
  </si>
  <si>
    <t>TOTAL</t>
  </si>
  <si>
    <t>Combined Founder Ownership</t>
  </si>
  <si>
    <t>INVESTOR RETURNS  —  Base Exit Scenario</t>
  </si>
  <si>
    <t>Exit proceeds = investor ownership at exit × exit valuation (base).  MOIC = proceeds ÷ investment.  IRR = MOIC^(1÷years)−1.</t>
  </si>
  <si>
    <t>Investor</t>
  </si>
  <si>
    <t>Ownership
at Exit (%)</t>
  </si>
  <si>
    <t>Entry Year</t>
  </si>
  <si>
    <t>Years Held</t>
  </si>
  <si>
    <t>Exit Proceeds ($)</t>
  </si>
  <si>
    <t>MOIC (x)</t>
  </si>
  <si>
    <t>IRR (%)</t>
  </si>
  <si>
    <t>VENTURE CAPITAL METHOD  —  DASHBOARD</t>
  </si>
  <si>
    <t>Target IRR
(Seed)</t>
  </si>
  <si>
    <t>Absolute Gain ($)
(Total)</t>
  </si>
  <si>
    <t>Blended MOIC</t>
  </si>
  <si>
    <t>Founder Ownership
at Exit</t>
  </si>
  <si>
    <t>Exit Valuation
(Base, $)</t>
  </si>
  <si>
    <t xml:space="preserve">  ROUND SUMMARY</t>
  </si>
  <si>
    <t>Pre-Money ($)</t>
  </si>
  <si>
    <t>Post-Money ($)</t>
  </si>
  <si>
    <t>Investor Ownership % (entry)</t>
  </si>
  <si>
    <t xml:space="preserve">  5  DASHBOARD</t>
  </si>
  <si>
    <t xml:space="preserve">    Implied pre-money valuation using the  VC backward-looking formula</t>
  </si>
  <si>
    <t xml:space="preserve">  MOIC BY INVESTOR </t>
  </si>
  <si>
    <t xml:space="preserve">Exit Revenue ($)  </t>
  </si>
  <si>
    <t xml:space="preserve">Required MOIC </t>
  </si>
  <si>
    <t>Required IRR</t>
  </si>
  <si>
    <t xml:space="preserve">Discount Factor  </t>
  </si>
  <si>
    <t xml:space="preserve">Required Ownership at Entry  </t>
  </si>
  <si>
    <t xml:space="preserve">Dilution-Adjusted Required Ownership  </t>
  </si>
  <si>
    <t xml:space="preserve">Implied Post-Money Valuation </t>
  </si>
  <si>
    <t xml:space="preserve">Implied Pre-Money Valuation </t>
  </si>
  <si>
    <t xml:space="preserve">Actual Pre-Money Valuation </t>
  </si>
  <si>
    <t xml:space="preserve">Gap: Actual vs VC-Implied Pre-Money </t>
  </si>
  <si>
    <t xml:space="preserve">Revenue Multiple at Exit </t>
  </si>
  <si>
    <t xml:space="preserve">Exit Multiple </t>
  </si>
  <si>
    <t xml:space="preserve">Exit Valuation </t>
  </si>
  <si>
    <t>The verdict flags whether each round is investor- or founder-favoured.</t>
  </si>
  <si>
    <t>Compare to actuals</t>
  </si>
  <si>
    <t>Future rounds and ESOP top-ups dilute earlier ownership.</t>
  </si>
  <si>
    <t>Mind dilution</t>
  </si>
  <si>
    <t>Exit value ÷ required return = implied post-money; minus investment = pre-money.</t>
  </si>
  <si>
    <t>Method works backward</t>
  </si>
  <si>
    <t>Blue is input; black is formula, green is a cross-sheet link — don’t overwrite.</t>
  </si>
  <si>
    <t>Description</t>
  </si>
  <si>
    <t>Guideline</t>
  </si>
  <si>
    <t>Important Guidelines</t>
  </si>
  <si>
    <t>Option pool added each round, diluting existing holders.</t>
  </si>
  <si>
    <t>ESOP Pool This Round</t>
  </si>
  <si>
    <t>Round sizes and pre-money valuations for Seed through Series C.</t>
  </si>
  <si>
    <t>Investment &amp; Pre-Money per round</t>
  </si>
  <si>
    <t>Target MOIC and IRR investors require, used to discount the exit.</t>
  </si>
  <si>
    <t>Required Return / IRR</t>
  </si>
  <si>
    <t>Time horizon used to discount the exit value back to today.</t>
  </si>
  <si>
    <t>Years to Exit</t>
  </si>
  <si>
    <t>Valuation multiple applied to exit revenue to set exit value.</t>
  </si>
  <si>
    <t>Revenue Multiple at Exit</t>
  </si>
  <si>
    <t>Forecast revenue at exit, multiplied by the exit multiple.</t>
  </si>
  <si>
    <t>Projected Revenue at Exit</t>
  </si>
  <si>
    <t>Metric</t>
  </si>
  <si>
    <t>What Each Input Means</t>
  </si>
  <si>
    <t>Read summary KPIs on the “Dashboard”</t>
  </si>
  <si>
    <t>See the “Investor Returns” sheet for exit proceeds, MOIC, and IRR</t>
  </si>
  <si>
    <t>Check the “Cap Table” for round-by-round ownership and dilution</t>
  </si>
  <si>
    <t>Review the “VC Method” sheet for the implied pre-money valuation per round</t>
  </si>
  <si>
    <t>Details</t>
  </si>
  <si>
    <t>Steps</t>
  </si>
  <si>
    <t>Step-by-Step Instructions</t>
  </si>
  <si>
    <t>Open the “Inputs” sheet and set exit, round, return, and founder assumptions (light yellow cells)</t>
  </si>
  <si>
    <t>Edit light yellow cells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</si>
</sst>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\x"/>
    <numFmt numFmtId="165" formatCode="0.0%"/>
    <numFmt numFmtId="166" formatCode="0.0"/>
    <numFmt numFmtId="167" formatCode="0.000"/>
    <numFmt numFmtId="168" formatCode="0.0%;\(0.0%\);\-"/>
    <numFmt numFmtId="169" formatCode="0.00%;\(0.00%\);\-"/>
    <numFmt numFmtId="170" formatCode="0.0\x;\(0.0&quot;x)&quot;;\-"/>
    <numFmt numFmtId="171" formatCode="#,##0;&quot;(&quot;#,##0\);\-"/>
  </numFmts>
  <fonts count="21" x14ac:knownFonts="1">
    <font>
      <sz val="11"/>
      <color theme="1"/>
      <name val="Calibri"/>
      <family val="2"/>
      <charset val="1"/>
    </font>
    <font>
      <b/>
      <sz val="28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595959"/>
      <name val="Calibri"/>
      <family val="2"/>
    </font>
    <font>
      <b/>
      <sz val="10"/>
      <color rgb="FFFFFFFF"/>
      <name val="Calibri"/>
      <family val="2"/>
    </font>
    <font>
      <sz val="9"/>
      <color rgb="FF0000FF"/>
      <name val="Calibri"/>
      <family val="2"/>
    </font>
    <font>
      <sz val="9"/>
      <color rgb="FF000000"/>
      <name val="Calibri"/>
      <family val="2"/>
    </font>
    <font>
      <sz val="9"/>
      <color rgb="FF008000"/>
      <name val="Calibri"/>
      <family val="2"/>
    </font>
    <font>
      <b/>
      <sz val="14"/>
      <color rgb="FF1B2A4A"/>
      <name val="Calibri"/>
      <family val="2"/>
    </font>
    <font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color rgb="FF008000"/>
      <name val="Calibri"/>
      <family val="2"/>
    </font>
    <font>
      <b/>
      <sz val="10"/>
      <color rgb="FF000000"/>
      <name val="Calibri"/>
      <family val="2"/>
    </font>
    <font>
      <sz val="10"/>
      <color rgb="FFBBBBBB"/>
      <name val="Calibri"/>
      <family val="2"/>
    </font>
    <font>
      <b/>
      <sz val="11"/>
      <color rgb="FF1B2A4A"/>
      <name val="Calibri"/>
      <family val="2"/>
    </font>
    <font>
      <b/>
      <sz val="16"/>
      <color rgb="FF1B2A4A"/>
      <name val="Calibri"/>
      <family val="2"/>
    </font>
    <font>
      <sz val="8"/>
      <color rgb="FF595959"/>
      <name val="Calibri"/>
      <family val="2"/>
    </font>
    <font>
      <b/>
      <sz val="18"/>
      <color rgb="FF1B2A4A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D4B7A"/>
        <bgColor rgb="FF595959"/>
      </patternFill>
    </fill>
    <fill>
      <patternFill patternType="solid">
        <fgColor rgb="FFF5F5F5"/>
        <bgColor rgb="FFFFFDE7"/>
      </patternFill>
    </fill>
    <fill>
      <patternFill patternType="solid">
        <fgColor rgb="FFFFFDE7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theme="4" tint="-0.499984740745262"/>
        <bgColor rgb="FF333399"/>
      </patternFill>
    </fill>
    <fill>
      <patternFill patternType="solid">
        <fgColor rgb="FFFFFDE7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left" vertical="center" indent="1"/>
    </xf>
    <xf numFmtId="1" fontId="10" fillId="5" borderId="1" xfId="0" applyNumberFormat="1" applyFont="1" applyFill="1" applyBorder="1" applyAlignment="1">
      <alignment horizontal="right" vertical="center"/>
    </xf>
    <xf numFmtId="165" fontId="10" fillId="5" borderId="1" xfId="0" applyNumberFormat="1" applyFont="1" applyFill="1" applyBorder="1" applyAlignment="1">
      <alignment horizontal="right" vertical="center"/>
    </xf>
    <xf numFmtId="49" fontId="10" fillId="6" borderId="1" xfId="0" applyNumberFormat="1" applyFont="1" applyFill="1" applyBorder="1" applyAlignment="1">
      <alignment horizontal="right" vertical="center"/>
    </xf>
    <xf numFmtId="168" fontId="4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164" fontId="4" fillId="2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indent="1"/>
    </xf>
    <xf numFmtId="0" fontId="20" fillId="0" borderId="0" xfId="0" applyFont="1"/>
    <xf numFmtId="0" fontId="18" fillId="0" borderId="5" xfId="0" applyFont="1" applyBorder="1" applyAlignment="1">
      <alignment horizontal="center"/>
    </xf>
    <xf numFmtId="0" fontId="19" fillId="7" borderId="5" xfId="0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 indent="1"/>
    </xf>
    <xf numFmtId="164" fontId="11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 indent="1"/>
    </xf>
    <xf numFmtId="166" fontId="9" fillId="0" borderId="1" xfId="0" applyNumberFormat="1" applyFont="1" applyBorder="1" applyAlignment="1">
      <alignment horizontal="right" vertical="center"/>
    </xf>
    <xf numFmtId="165" fontId="11" fillId="0" borderId="1" xfId="0" applyNumberFormat="1" applyFont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10" fontId="12" fillId="0" borderId="1" xfId="0" applyNumberFormat="1" applyFont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49" fontId="12" fillId="0" borderId="1" xfId="0" applyNumberFormat="1" applyFont="1" applyBorder="1" applyAlignment="1">
      <alignment horizontal="right" vertical="center"/>
    </xf>
    <xf numFmtId="168" fontId="11" fillId="0" borderId="1" xfId="0" applyNumberFormat="1" applyFont="1" applyBorder="1" applyAlignment="1">
      <alignment horizontal="right" vertical="center"/>
    </xf>
    <xf numFmtId="168" fontId="13" fillId="0" borderId="1" xfId="0" applyNumberFormat="1" applyFont="1" applyBorder="1" applyAlignment="1">
      <alignment horizontal="right" vertical="center"/>
    </xf>
    <xf numFmtId="168" fontId="12" fillId="0" borderId="1" xfId="0" applyNumberFormat="1" applyFont="1" applyBorder="1" applyAlignment="1">
      <alignment horizontal="right" vertical="center"/>
    </xf>
    <xf numFmtId="169" fontId="11" fillId="0" borderId="1" xfId="0" applyNumberFormat="1" applyFont="1" applyBorder="1" applyAlignment="1">
      <alignment horizontal="right" vertical="center"/>
    </xf>
    <xf numFmtId="1" fontId="11" fillId="0" borderId="1" xfId="0" applyNumberFormat="1" applyFont="1" applyBorder="1" applyAlignment="1">
      <alignment horizontal="right" vertical="center"/>
    </xf>
    <xf numFmtId="170" fontId="14" fillId="0" borderId="1" xfId="0" applyNumberFormat="1" applyFont="1" applyBorder="1" applyAlignment="1">
      <alignment horizontal="right" vertical="center"/>
    </xf>
    <xf numFmtId="168" fontId="14" fillId="0" borderId="1" xfId="0" applyNumberFormat="1" applyFont="1" applyBorder="1" applyAlignment="1">
      <alignment horizontal="right" vertical="center"/>
    </xf>
    <xf numFmtId="170" fontId="11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166" fontId="11" fillId="0" borderId="1" xfId="0" applyNumberFormat="1" applyFont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 indent="1"/>
    </xf>
    <xf numFmtId="1" fontId="10" fillId="8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/>
    </xf>
    <xf numFmtId="164" fontId="10" fillId="8" borderId="1" xfId="0" applyNumberFormat="1" applyFont="1" applyFill="1" applyBorder="1" applyAlignment="1">
      <alignment horizontal="right" vertical="center"/>
    </xf>
    <xf numFmtId="3" fontId="10" fillId="5" borderId="1" xfId="0" applyNumberFormat="1" applyFont="1" applyFill="1" applyBorder="1" applyAlignment="1">
      <alignment horizontal="right" vertical="center"/>
    </xf>
    <xf numFmtId="171" fontId="11" fillId="0" borderId="1" xfId="0" applyNumberFormat="1" applyFont="1" applyBorder="1" applyAlignment="1">
      <alignment horizontal="right" vertical="center"/>
    </xf>
    <xf numFmtId="171" fontId="12" fillId="0" borderId="1" xfId="0" applyNumberFormat="1" applyFont="1" applyBorder="1" applyAlignment="1">
      <alignment horizontal="right" vertical="center"/>
    </xf>
    <xf numFmtId="171" fontId="9" fillId="0" borderId="1" xfId="0" applyNumberFormat="1" applyFont="1" applyBorder="1" applyAlignment="1">
      <alignment horizontal="right" vertical="center"/>
    </xf>
    <xf numFmtId="171" fontId="4" fillId="2" borderId="1" xfId="0" applyNumberFormat="1" applyFont="1" applyFill="1" applyBorder="1" applyAlignment="1">
      <alignment horizontal="right" vertical="center"/>
    </xf>
    <xf numFmtId="0" fontId="18" fillId="0" borderId="5" xfId="0" applyFont="1" applyBorder="1" applyAlignment="1">
      <alignment horizontal="left" vertical="center"/>
    </xf>
    <xf numFmtId="0" fontId="19" fillId="7" borderId="5" xfId="0" applyFont="1" applyFill="1" applyBorder="1" applyAlignment="1">
      <alignment horizontal="left" vertical="center"/>
    </xf>
    <xf numFmtId="0" fontId="19" fillId="7" borderId="8" xfId="0" applyFont="1" applyFill="1" applyBorder="1" applyAlignment="1">
      <alignment horizontal="center"/>
    </xf>
    <xf numFmtId="0" fontId="19" fillId="7" borderId="7" xfId="0" applyFont="1" applyFill="1" applyBorder="1" applyAlignment="1">
      <alignment horizontal="center"/>
    </xf>
    <xf numFmtId="0" fontId="19" fillId="7" borderId="6" xfId="0" applyFont="1" applyFill="1" applyBorder="1" applyAlignment="1">
      <alignment horizontal="center"/>
    </xf>
    <xf numFmtId="0" fontId="18" fillId="0" borderId="5" xfId="0" applyFont="1" applyBorder="1" applyAlignment="1">
      <alignment horizontal="left"/>
    </xf>
    <xf numFmtId="0" fontId="6" fillId="4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4" fillId="2" borderId="0" xfId="0" applyFont="1" applyFill="1"/>
    <xf numFmtId="0" fontId="5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0" borderId="0" xfId="0" applyFont="1"/>
    <xf numFmtId="0" fontId="4" fillId="2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2" borderId="3" xfId="0" applyFont="1" applyFill="1" applyBorder="1" applyAlignment="1">
      <alignment horizontal="center" vertical="center"/>
    </xf>
    <xf numFmtId="0" fontId="0" fillId="2" borderId="2" xfId="0" applyFill="1" applyBorder="1"/>
    <xf numFmtId="165" fontId="17" fillId="0" borderId="1" xfId="0" applyNumberFormat="1" applyFont="1" applyBorder="1" applyAlignment="1">
      <alignment horizontal="center" vertical="center" wrapText="1"/>
    </xf>
    <xf numFmtId="171" fontId="17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0" fontId="1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C0504D"/>
      <rgbColor rgb="FFFFFDE7"/>
      <rgbColor rgb="FFF5F5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A0B4CC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595959"/>
      <rgbColor rgb="FF2D4B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A4DD-895E-4949-811C-47EBDA67D11B}">
  <sheetPr>
    <tabColor rgb="FFBFBFBF"/>
  </sheetPr>
  <dimension ref="B2:L29"/>
  <sheetViews>
    <sheetView showGridLines="0" tabSelected="1" zoomScaleNormal="100" workbookViewId="0">
      <selection activeCell="E12" sqref="E12"/>
    </sheetView>
  </sheetViews>
  <sheetFormatPr defaultColWidth="8.6640625" defaultRowHeight="14.4" x14ac:dyDescent="0.3"/>
  <cols>
    <col min="1" max="1" width="1.77734375" customWidth="1"/>
    <col min="2" max="2" width="9.109375" customWidth="1"/>
    <col min="3" max="3" width="10.44140625" customWidth="1"/>
    <col min="4" max="4" width="11.88671875" customWidth="1"/>
    <col min="5" max="5" width="10.44140625" customWidth="1"/>
    <col min="9" max="9" width="19.44140625" customWidth="1"/>
    <col min="10" max="10" width="14.77734375" customWidth="1"/>
  </cols>
  <sheetData>
    <row r="2" spans="2:12" ht="18.75" customHeight="1" x14ac:dyDescent="0.35">
      <c r="B2" s="14" t="s">
        <v>128</v>
      </c>
    </row>
    <row r="4" spans="2:12" x14ac:dyDescent="0.3">
      <c r="B4" s="16" t="s">
        <v>127</v>
      </c>
      <c r="C4" s="47" t="s">
        <v>126</v>
      </c>
      <c r="D4" s="48"/>
      <c r="E4" s="48"/>
      <c r="F4" s="48"/>
      <c r="G4" s="48"/>
      <c r="H4" s="48"/>
      <c r="I4" s="49"/>
    </row>
    <row r="5" spans="2:12" x14ac:dyDescent="0.3">
      <c r="B5" s="15">
        <v>1</v>
      </c>
      <c r="C5" s="50" t="s">
        <v>129</v>
      </c>
      <c r="D5" s="50"/>
      <c r="E5" s="50"/>
      <c r="F5" s="50"/>
      <c r="G5" s="50"/>
      <c r="H5" s="50"/>
      <c r="I5" s="50"/>
    </row>
    <row r="6" spans="2:12" x14ac:dyDescent="0.3">
      <c r="B6" s="15">
        <v>2</v>
      </c>
      <c r="C6" s="50" t="s">
        <v>125</v>
      </c>
      <c r="D6" s="50"/>
      <c r="E6" s="50"/>
      <c r="F6" s="50"/>
      <c r="G6" s="50"/>
      <c r="H6" s="50"/>
      <c r="I6" s="50"/>
    </row>
    <row r="7" spans="2:12" x14ac:dyDescent="0.3">
      <c r="B7" s="15">
        <v>3</v>
      </c>
      <c r="C7" s="50" t="s">
        <v>124</v>
      </c>
      <c r="D7" s="50"/>
      <c r="E7" s="50"/>
      <c r="F7" s="50"/>
      <c r="G7" s="50"/>
      <c r="H7" s="50"/>
      <c r="I7" s="50"/>
    </row>
    <row r="8" spans="2:12" x14ac:dyDescent="0.3">
      <c r="B8" s="15">
        <v>4</v>
      </c>
      <c r="C8" s="50" t="s">
        <v>123</v>
      </c>
      <c r="D8" s="50"/>
      <c r="E8" s="50"/>
      <c r="F8" s="50"/>
      <c r="G8" s="50"/>
      <c r="H8" s="50"/>
      <c r="I8" s="50"/>
    </row>
    <row r="9" spans="2:12" x14ac:dyDescent="0.3">
      <c r="B9" s="15">
        <v>5</v>
      </c>
      <c r="C9" s="50" t="s">
        <v>122</v>
      </c>
      <c r="D9" s="50"/>
      <c r="E9" s="50"/>
      <c r="F9" s="50"/>
      <c r="G9" s="50"/>
      <c r="H9" s="50"/>
      <c r="I9" s="50"/>
    </row>
    <row r="12" spans="2:12" ht="18.75" customHeight="1" x14ac:dyDescent="0.35">
      <c r="B12" s="14" t="s">
        <v>121</v>
      </c>
    </row>
    <row r="14" spans="2:12" x14ac:dyDescent="0.3">
      <c r="B14" s="46" t="s">
        <v>120</v>
      </c>
      <c r="C14" s="46"/>
      <c r="D14" s="46"/>
      <c r="E14" s="46" t="s">
        <v>105</v>
      </c>
      <c r="F14" s="46"/>
      <c r="G14" s="46"/>
      <c r="H14" s="46"/>
      <c r="I14" s="46"/>
      <c r="J14" s="46"/>
      <c r="K14" s="46"/>
      <c r="L14" s="46"/>
    </row>
    <row r="15" spans="2:12" x14ac:dyDescent="0.3">
      <c r="B15" s="45" t="s">
        <v>119</v>
      </c>
      <c r="C15" s="45"/>
      <c r="D15" s="45"/>
      <c r="E15" s="45" t="s">
        <v>118</v>
      </c>
      <c r="F15" s="45"/>
      <c r="G15" s="45"/>
      <c r="H15" s="45"/>
      <c r="I15" s="45"/>
      <c r="J15" s="45"/>
      <c r="K15" s="45"/>
      <c r="L15" s="45"/>
    </row>
    <row r="16" spans="2:12" x14ac:dyDescent="0.3">
      <c r="B16" s="45" t="s">
        <v>117</v>
      </c>
      <c r="C16" s="45"/>
      <c r="D16" s="45"/>
      <c r="E16" s="45" t="s">
        <v>116</v>
      </c>
      <c r="F16" s="45"/>
      <c r="G16" s="45"/>
      <c r="H16" s="45"/>
      <c r="I16" s="45"/>
      <c r="J16" s="45"/>
      <c r="K16" s="45"/>
      <c r="L16" s="45"/>
    </row>
    <row r="17" spans="2:12" x14ac:dyDescent="0.3">
      <c r="B17" s="45" t="s">
        <v>115</v>
      </c>
      <c r="C17" s="45"/>
      <c r="D17" s="45"/>
      <c r="E17" s="45" t="s">
        <v>114</v>
      </c>
      <c r="F17" s="45"/>
      <c r="G17" s="45"/>
      <c r="H17" s="45"/>
      <c r="I17" s="45"/>
      <c r="J17" s="45"/>
      <c r="K17" s="45"/>
      <c r="L17" s="45"/>
    </row>
    <row r="18" spans="2:12" x14ac:dyDescent="0.3">
      <c r="B18" s="45" t="s">
        <v>113</v>
      </c>
      <c r="C18" s="45"/>
      <c r="D18" s="45"/>
      <c r="E18" s="45" t="s">
        <v>112</v>
      </c>
      <c r="F18" s="45"/>
      <c r="G18" s="45"/>
      <c r="H18" s="45"/>
      <c r="I18" s="45"/>
      <c r="J18" s="45"/>
      <c r="K18" s="45"/>
      <c r="L18" s="45"/>
    </row>
    <row r="19" spans="2:12" x14ac:dyDescent="0.3">
      <c r="B19" s="45" t="s">
        <v>111</v>
      </c>
      <c r="C19" s="45"/>
      <c r="D19" s="45"/>
      <c r="E19" s="45" t="s">
        <v>110</v>
      </c>
      <c r="F19" s="45"/>
      <c r="G19" s="45"/>
      <c r="H19" s="45"/>
      <c r="I19" s="45"/>
      <c r="J19" s="45"/>
      <c r="K19" s="45"/>
      <c r="L19" s="45"/>
    </row>
    <row r="20" spans="2:12" x14ac:dyDescent="0.3">
      <c r="B20" s="45" t="s">
        <v>109</v>
      </c>
      <c r="C20" s="45"/>
      <c r="D20" s="45"/>
      <c r="E20" s="45" t="s">
        <v>108</v>
      </c>
      <c r="F20" s="45"/>
      <c r="G20" s="45"/>
      <c r="H20" s="45"/>
      <c r="I20" s="45"/>
      <c r="J20" s="45"/>
      <c r="K20" s="45"/>
      <c r="L20" s="45"/>
    </row>
    <row r="23" spans="2:12" ht="18.75" customHeight="1" x14ac:dyDescent="0.35">
      <c r="B23" s="14" t="s">
        <v>107</v>
      </c>
    </row>
    <row r="25" spans="2:12" x14ac:dyDescent="0.3">
      <c r="B25" s="46" t="s">
        <v>106</v>
      </c>
      <c r="C25" s="46"/>
      <c r="D25" s="46"/>
      <c r="E25" s="46" t="s">
        <v>105</v>
      </c>
      <c r="F25" s="46"/>
      <c r="G25" s="46"/>
      <c r="H25" s="46"/>
      <c r="I25" s="46"/>
      <c r="J25" s="46"/>
    </row>
    <row r="26" spans="2:12" x14ac:dyDescent="0.3">
      <c r="B26" s="45" t="s">
        <v>130</v>
      </c>
      <c r="C26" s="45"/>
      <c r="D26" s="45"/>
      <c r="E26" s="45" t="s">
        <v>104</v>
      </c>
      <c r="F26" s="45"/>
      <c r="G26" s="45"/>
      <c r="H26" s="45"/>
      <c r="I26" s="45"/>
      <c r="J26" s="45"/>
    </row>
    <row r="27" spans="2:12" x14ac:dyDescent="0.3">
      <c r="B27" s="45" t="s">
        <v>103</v>
      </c>
      <c r="C27" s="45"/>
      <c r="D27" s="45"/>
      <c r="E27" s="45" t="s">
        <v>102</v>
      </c>
      <c r="F27" s="45"/>
      <c r="G27" s="45"/>
      <c r="H27" s="45"/>
      <c r="I27" s="45"/>
      <c r="J27" s="45"/>
    </row>
    <row r="28" spans="2:12" x14ac:dyDescent="0.3">
      <c r="B28" s="45" t="s">
        <v>101</v>
      </c>
      <c r="C28" s="45"/>
      <c r="D28" s="45"/>
      <c r="E28" s="45" t="s">
        <v>100</v>
      </c>
      <c r="F28" s="45"/>
      <c r="G28" s="45"/>
      <c r="H28" s="45"/>
      <c r="I28" s="45"/>
      <c r="J28" s="45"/>
    </row>
    <row r="29" spans="2:12" x14ac:dyDescent="0.3">
      <c r="B29" s="45" t="s">
        <v>99</v>
      </c>
      <c r="C29" s="45"/>
      <c r="D29" s="45"/>
      <c r="E29" s="45" t="s">
        <v>98</v>
      </c>
      <c r="F29" s="45"/>
      <c r="G29" s="45"/>
      <c r="H29" s="45"/>
      <c r="I29" s="45"/>
      <c r="J29" s="45"/>
    </row>
  </sheetData>
  <mergeCells count="30">
    <mergeCell ref="B15:D15"/>
    <mergeCell ref="E15:L15"/>
    <mergeCell ref="B16:D16"/>
    <mergeCell ref="E16:L16"/>
    <mergeCell ref="C5:I5"/>
    <mergeCell ref="C6:I6"/>
    <mergeCell ref="C7:I7"/>
    <mergeCell ref="C8:I8"/>
    <mergeCell ref="C9:I9"/>
    <mergeCell ref="C4:I4"/>
    <mergeCell ref="B27:D27"/>
    <mergeCell ref="E27:J27"/>
    <mergeCell ref="B28:D28"/>
    <mergeCell ref="E28:J28"/>
    <mergeCell ref="E25:J25"/>
    <mergeCell ref="B26:D26"/>
    <mergeCell ref="E26:J26"/>
    <mergeCell ref="B17:D17"/>
    <mergeCell ref="E17:L17"/>
    <mergeCell ref="B18:D18"/>
    <mergeCell ref="E18:L18"/>
    <mergeCell ref="B19:D19"/>
    <mergeCell ref="E19:L19"/>
    <mergeCell ref="B14:D14"/>
    <mergeCell ref="E14:L14"/>
    <mergeCell ref="B29:D29"/>
    <mergeCell ref="E29:J29"/>
    <mergeCell ref="B20:D20"/>
    <mergeCell ref="E20:L20"/>
    <mergeCell ref="B25:D25"/>
  </mergeCells>
  <pageMargins left="0.75" right="0.75" top="1" bottom="1" header="0.511811023622047" footer="0.511811023622047"/>
  <pageSetup paperSize="9" orientation="portrait" horizontalDpi="300" verticalDpi="30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3"/>
  <sheetViews>
    <sheetView showGridLines="0" zoomScale="138" zoomScaleNormal="100" workbookViewId="0">
      <selection activeCell="H10" sqref="H10"/>
    </sheetView>
  </sheetViews>
  <sheetFormatPr defaultColWidth="8.6640625" defaultRowHeight="14.4" x14ac:dyDescent="0.3"/>
  <cols>
    <col min="1" max="1" width="4" customWidth="1"/>
    <col min="2" max="2" width="32" customWidth="1"/>
    <col min="3" max="3" width="44" customWidth="1"/>
    <col min="4" max="4" width="4" customWidth="1"/>
  </cols>
  <sheetData>
    <row r="1" spans="2:3" ht="25.5" customHeight="1" x14ac:dyDescent="0.3">
      <c r="B1" s="57" t="s">
        <v>0</v>
      </c>
      <c r="C1" s="57"/>
    </row>
    <row r="2" spans="2:3" ht="25.5" customHeight="1" x14ac:dyDescent="0.3">
      <c r="B2" s="57"/>
      <c r="C2" s="57"/>
    </row>
    <row r="3" spans="2:3" ht="25.5" customHeight="1" x14ac:dyDescent="0.3">
      <c r="B3" s="57"/>
      <c r="C3" s="57"/>
    </row>
    <row r="4" spans="2:3" ht="25.5" customHeight="1" x14ac:dyDescent="0.3">
      <c r="B4" s="57"/>
      <c r="C4" s="57"/>
    </row>
    <row r="5" spans="2:3" ht="25.5" customHeight="1" x14ac:dyDescent="0.3">
      <c r="B5" s="57"/>
      <c r="C5" s="57"/>
    </row>
    <row r="6" spans="2:3" ht="25.5" customHeight="1" x14ac:dyDescent="0.3">
      <c r="B6" s="57"/>
      <c r="C6" s="57"/>
    </row>
    <row r="7" spans="2:3" ht="25.5" customHeight="1" x14ac:dyDescent="0.3">
      <c r="B7" s="57"/>
      <c r="C7" s="57"/>
    </row>
    <row r="8" spans="2:3" ht="25.5" customHeight="1" x14ac:dyDescent="0.3">
      <c r="B8" s="57"/>
      <c r="C8" s="57"/>
    </row>
    <row r="10" spans="2:3" ht="21.75" customHeight="1" x14ac:dyDescent="0.3">
      <c r="B10" s="53" t="s">
        <v>1</v>
      </c>
      <c r="C10" s="53"/>
    </row>
    <row r="11" spans="2:3" ht="15" customHeight="1" x14ac:dyDescent="0.3">
      <c r="B11" s="54" t="s">
        <v>2</v>
      </c>
      <c r="C11" s="54"/>
    </row>
    <row r="12" spans="2:3" ht="3.75" customHeight="1" x14ac:dyDescent="0.3"/>
    <row r="13" spans="2:3" ht="21.75" customHeight="1" x14ac:dyDescent="0.3">
      <c r="B13" s="53" t="s">
        <v>3</v>
      </c>
      <c r="C13" s="53"/>
    </row>
    <row r="14" spans="2:3" ht="15" customHeight="1" x14ac:dyDescent="0.3">
      <c r="B14" s="54" t="s">
        <v>83</v>
      </c>
      <c r="C14" s="54"/>
    </row>
    <row r="15" spans="2:3" ht="3.75" customHeight="1" x14ac:dyDescent="0.3"/>
    <row r="16" spans="2:3" ht="21.75" customHeight="1" x14ac:dyDescent="0.3">
      <c r="B16" s="53" t="s">
        <v>4</v>
      </c>
      <c r="C16" s="53"/>
    </row>
    <row r="17" spans="2:3" ht="15" customHeight="1" x14ac:dyDescent="0.3">
      <c r="B17" s="54" t="s">
        <v>5</v>
      </c>
      <c r="C17" s="54"/>
    </row>
    <row r="18" spans="2:3" ht="3.75" customHeight="1" x14ac:dyDescent="0.3"/>
    <row r="19" spans="2:3" ht="21.75" customHeight="1" x14ac:dyDescent="0.3">
      <c r="B19" s="53" t="s">
        <v>6</v>
      </c>
      <c r="C19" s="53"/>
    </row>
    <row r="20" spans="2:3" ht="15" customHeight="1" x14ac:dyDescent="0.3">
      <c r="B20" s="54" t="s">
        <v>7</v>
      </c>
      <c r="C20" s="54"/>
    </row>
    <row r="21" spans="2:3" ht="3.75" customHeight="1" x14ac:dyDescent="0.3"/>
    <row r="22" spans="2:3" ht="3.75" customHeight="1" x14ac:dyDescent="0.3"/>
    <row r="23" spans="2:3" ht="21.75" customHeight="1" x14ac:dyDescent="0.3">
      <c r="B23" s="53" t="s">
        <v>82</v>
      </c>
      <c r="C23" s="53"/>
    </row>
    <row r="24" spans="2:3" ht="15" customHeight="1" x14ac:dyDescent="0.3">
      <c r="B24" s="54" t="s">
        <v>8</v>
      </c>
      <c r="C24" s="54"/>
    </row>
    <row r="25" spans="2:3" ht="3.75" customHeight="1" x14ac:dyDescent="0.3"/>
    <row r="27" spans="2:3" ht="19.5" customHeight="1" x14ac:dyDescent="0.3">
      <c r="B27" s="55" t="s">
        <v>9</v>
      </c>
      <c r="C27" s="55"/>
    </row>
    <row r="29" spans="2:3" ht="18" customHeight="1" x14ac:dyDescent="0.3">
      <c r="B29" s="56" t="s">
        <v>10</v>
      </c>
      <c r="C29" s="56"/>
    </row>
    <row r="31" spans="2:3" ht="18" customHeight="1" x14ac:dyDescent="0.3">
      <c r="B31" s="51" t="s">
        <v>11</v>
      </c>
      <c r="C31" s="51"/>
    </row>
    <row r="33" spans="2:3" ht="18" customHeight="1" x14ac:dyDescent="0.3">
      <c r="B33" s="52" t="s">
        <v>12</v>
      </c>
      <c r="C33" s="52"/>
    </row>
  </sheetData>
  <mergeCells count="15">
    <mergeCell ref="B1:C8"/>
    <mergeCell ref="B10:C10"/>
    <mergeCell ref="B11:C11"/>
    <mergeCell ref="B13:C13"/>
    <mergeCell ref="B14:C14"/>
    <mergeCell ref="B16:C16"/>
    <mergeCell ref="B17:C17"/>
    <mergeCell ref="B19:C19"/>
    <mergeCell ref="B20:C20"/>
    <mergeCell ref="B29:C29"/>
    <mergeCell ref="B31:C31"/>
    <mergeCell ref="B33:C33"/>
    <mergeCell ref="B23:C23"/>
    <mergeCell ref="B24:C24"/>
    <mergeCell ref="B27:C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9"/>
  <sheetViews>
    <sheetView showGridLines="0" zoomScale="130" zoomScaleNormal="130" workbookViewId="0">
      <selection activeCell="C7" sqref="C7"/>
    </sheetView>
  </sheetViews>
  <sheetFormatPr defaultColWidth="8.6640625" defaultRowHeight="14.4" x14ac:dyDescent="0.3"/>
  <cols>
    <col min="1" max="1" width="3" customWidth="1"/>
    <col min="2" max="2" width="34" customWidth="1"/>
    <col min="3" max="3" width="16" customWidth="1"/>
    <col min="4" max="4" width="3" customWidth="1"/>
    <col min="5" max="5" width="22.44140625" bestFit="1" customWidth="1"/>
    <col min="6" max="9" width="14" customWidth="1"/>
    <col min="10" max="10" width="3" customWidth="1"/>
  </cols>
  <sheetData>
    <row r="1" spans="2:9" ht="27.75" customHeight="1" x14ac:dyDescent="0.35">
      <c r="B1" s="60" t="s">
        <v>13</v>
      </c>
      <c r="C1" s="60"/>
      <c r="D1" s="60"/>
      <c r="E1" s="60"/>
      <c r="F1" s="60"/>
      <c r="G1" s="60"/>
      <c r="H1" s="60"/>
      <c r="I1" s="60"/>
    </row>
    <row r="3" spans="2:9" ht="21.75" customHeight="1" x14ac:dyDescent="0.3">
      <c r="B3" s="61" t="s">
        <v>14</v>
      </c>
      <c r="C3" s="61"/>
      <c r="E3" s="1" t="s">
        <v>15</v>
      </c>
      <c r="F3" s="2" t="s">
        <v>16</v>
      </c>
      <c r="G3" s="2" t="s">
        <v>17</v>
      </c>
      <c r="H3" s="2" t="s">
        <v>18</v>
      </c>
      <c r="I3" s="2" t="s">
        <v>19</v>
      </c>
    </row>
    <row r="4" spans="2:9" ht="19.5" customHeight="1" x14ac:dyDescent="0.3">
      <c r="B4" s="3" t="s">
        <v>20</v>
      </c>
      <c r="C4" s="40">
        <v>25000000</v>
      </c>
      <c r="E4" s="3" t="s">
        <v>21</v>
      </c>
      <c r="F4" s="40">
        <v>1000000</v>
      </c>
      <c r="G4" s="40">
        <v>5000000</v>
      </c>
      <c r="H4" s="40">
        <v>15000000</v>
      </c>
      <c r="I4" s="40">
        <v>40000000</v>
      </c>
    </row>
    <row r="5" spans="2:9" ht="19.5" customHeight="1" x14ac:dyDescent="0.3">
      <c r="B5" s="3" t="s">
        <v>95</v>
      </c>
      <c r="C5" s="4">
        <v>8</v>
      </c>
      <c r="E5" s="3" t="s">
        <v>22</v>
      </c>
      <c r="F5" s="40">
        <v>5000000</v>
      </c>
      <c r="G5" s="40">
        <v>20000000</v>
      </c>
      <c r="H5" s="40">
        <v>60000000</v>
      </c>
      <c r="I5" s="40">
        <v>180000000</v>
      </c>
    </row>
    <row r="6" spans="2:9" ht="19.5" customHeight="1" x14ac:dyDescent="0.3">
      <c r="B6" s="3" t="s">
        <v>25</v>
      </c>
      <c r="C6" s="6">
        <v>5</v>
      </c>
      <c r="E6" s="36" t="s">
        <v>23</v>
      </c>
      <c r="F6" s="37">
        <v>2026</v>
      </c>
      <c r="G6" s="37">
        <v>2027</v>
      </c>
      <c r="H6" s="37">
        <v>2029</v>
      </c>
      <c r="I6" s="37">
        <v>2030</v>
      </c>
    </row>
    <row r="7" spans="2:9" ht="19.5" customHeight="1" x14ac:dyDescent="0.3">
      <c r="E7" s="36" t="s">
        <v>24</v>
      </c>
      <c r="F7" s="38">
        <v>0.1</v>
      </c>
      <c r="G7" s="38">
        <v>0.05</v>
      </c>
      <c r="H7" s="38">
        <v>0.03</v>
      </c>
      <c r="I7" s="38">
        <v>0.02</v>
      </c>
    </row>
    <row r="8" spans="2:9" x14ac:dyDescent="0.3">
      <c r="B8" s="58" t="s">
        <v>27</v>
      </c>
      <c r="C8" s="59"/>
    </row>
    <row r="9" spans="2:9" ht="21.75" customHeight="1" x14ac:dyDescent="0.3">
      <c r="B9" s="3" t="s">
        <v>29</v>
      </c>
      <c r="C9" s="4">
        <v>10</v>
      </c>
      <c r="E9" s="61" t="s">
        <v>26</v>
      </c>
      <c r="F9" s="61"/>
      <c r="G9" s="61"/>
      <c r="H9" s="61"/>
      <c r="I9" s="61"/>
    </row>
    <row r="10" spans="2:9" ht="19.5" customHeight="1" x14ac:dyDescent="0.3">
      <c r="B10" s="3" t="s">
        <v>28</v>
      </c>
      <c r="C10" s="7">
        <v>0.35</v>
      </c>
      <c r="E10" s="36" t="s">
        <v>28</v>
      </c>
      <c r="F10" s="38">
        <v>0.4</v>
      </c>
      <c r="G10" s="38">
        <v>0.3</v>
      </c>
      <c r="H10" s="38">
        <v>0.25</v>
      </c>
      <c r="I10" s="38">
        <v>0.2</v>
      </c>
    </row>
    <row r="11" spans="2:9" ht="19.5" customHeight="1" x14ac:dyDescent="0.3">
      <c r="B11" s="3" t="s">
        <v>31</v>
      </c>
      <c r="C11" s="7">
        <v>0.2</v>
      </c>
      <c r="E11" s="36" t="s">
        <v>30</v>
      </c>
      <c r="F11" s="39">
        <v>10</v>
      </c>
      <c r="G11" s="39">
        <v>5</v>
      </c>
      <c r="H11" s="39">
        <v>3</v>
      </c>
      <c r="I11" s="39">
        <v>2.5</v>
      </c>
    </row>
    <row r="12" spans="2:9" ht="19.5" customHeight="1" x14ac:dyDescent="0.3"/>
    <row r="13" spans="2:9" ht="19.5" customHeight="1" x14ac:dyDescent="0.3">
      <c r="B13" s="58" t="s">
        <v>32</v>
      </c>
      <c r="C13" s="59"/>
    </row>
    <row r="14" spans="2:9" x14ac:dyDescent="0.3">
      <c r="B14" s="5" t="s">
        <v>33</v>
      </c>
      <c r="C14" s="8" t="s">
        <v>34</v>
      </c>
    </row>
    <row r="15" spans="2:9" x14ac:dyDescent="0.3">
      <c r="B15" s="5" t="s">
        <v>35</v>
      </c>
      <c r="C15" s="8" t="s">
        <v>36</v>
      </c>
    </row>
    <row r="16" spans="2:9" ht="19.5" customHeight="1" x14ac:dyDescent="0.3">
      <c r="B16" s="3" t="s">
        <v>37</v>
      </c>
      <c r="C16" s="7">
        <v>0.5</v>
      </c>
    </row>
    <row r="17" spans="2:3" ht="19.5" customHeight="1" x14ac:dyDescent="0.3">
      <c r="B17" s="3" t="s">
        <v>38</v>
      </c>
      <c r="C17" s="7">
        <v>0.5</v>
      </c>
    </row>
    <row r="18" spans="2:3" ht="19.5" customHeight="1" x14ac:dyDescent="0.3"/>
    <row r="19" spans="2:3" ht="19.5" customHeight="1" x14ac:dyDescent="0.3"/>
  </sheetData>
  <mergeCells count="5">
    <mergeCell ref="B13:C13"/>
    <mergeCell ref="B1:I1"/>
    <mergeCell ref="B3:C3"/>
    <mergeCell ref="E9:I9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5"/>
  <sheetViews>
    <sheetView showGridLines="0" zoomScale="130" zoomScaleNormal="130" workbookViewId="0">
      <selection activeCell="C13" sqref="C13"/>
    </sheetView>
  </sheetViews>
  <sheetFormatPr defaultColWidth="8.6640625" defaultRowHeight="14.4" x14ac:dyDescent="0.3"/>
  <cols>
    <col min="1" max="1" width="3" customWidth="1"/>
    <col min="2" max="2" width="34.88671875" customWidth="1"/>
    <col min="3" max="6" width="27.77734375" customWidth="1"/>
    <col min="7" max="7" width="3" customWidth="1"/>
  </cols>
  <sheetData>
    <row r="1" spans="2:6" ht="27.75" customHeight="1" x14ac:dyDescent="0.35">
      <c r="B1" s="60" t="s">
        <v>39</v>
      </c>
      <c r="C1" s="60"/>
      <c r="D1" s="60"/>
      <c r="E1" s="60"/>
      <c r="F1" s="60"/>
    </row>
    <row r="2" spans="2:6" ht="13.5" customHeight="1" x14ac:dyDescent="0.3">
      <c r="B2" s="62" t="s">
        <v>40</v>
      </c>
      <c r="C2" s="62"/>
      <c r="D2" s="62"/>
      <c r="E2" s="62"/>
      <c r="F2" s="62"/>
    </row>
    <row r="4" spans="2:6" ht="27.75" customHeight="1" x14ac:dyDescent="0.3">
      <c r="B4" s="1" t="s">
        <v>41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2:6" ht="21.75" customHeight="1" x14ac:dyDescent="0.3">
      <c r="B5" s="61" t="s">
        <v>42</v>
      </c>
      <c r="C5" s="61"/>
      <c r="D5" s="61"/>
      <c r="E5" s="61"/>
      <c r="F5" s="61"/>
    </row>
    <row r="6" spans="2:6" ht="19.5" customHeight="1" x14ac:dyDescent="0.3">
      <c r="B6" s="17" t="s">
        <v>85</v>
      </c>
      <c r="C6" s="41">
        <f>Inputs!C4</f>
        <v>25000000</v>
      </c>
      <c r="D6" s="41">
        <f>Inputs!C4</f>
        <v>25000000</v>
      </c>
      <c r="E6" s="41">
        <f>Inputs!C4</f>
        <v>25000000</v>
      </c>
      <c r="F6" s="41">
        <f>Inputs!C4</f>
        <v>25000000</v>
      </c>
    </row>
    <row r="7" spans="2:6" ht="19.5" customHeight="1" x14ac:dyDescent="0.3">
      <c r="B7" s="17" t="s">
        <v>96</v>
      </c>
      <c r="C7" s="18">
        <f>Inputs!C5</f>
        <v>8</v>
      </c>
      <c r="D7" s="18">
        <f>Inputs!C5</f>
        <v>8</v>
      </c>
      <c r="E7" s="18">
        <f>Inputs!C5</f>
        <v>8</v>
      </c>
      <c r="F7" s="18">
        <f>Inputs!C5</f>
        <v>8</v>
      </c>
    </row>
    <row r="8" spans="2:6" ht="19.5" customHeight="1" x14ac:dyDescent="0.3">
      <c r="B8" s="19" t="s">
        <v>97</v>
      </c>
      <c r="C8" s="42">
        <f>C6*C7</f>
        <v>200000000</v>
      </c>
      <c r="D8" s="42">
        <f>D6*D7</f>
        <v>200000000</v>
      </c>
      <c r="E8" s="42">
        <f>E6*E7</f>
        <v>200000000</v>
      </c>
      <c r="F8" s="42">
        <f>F6*F7</f>
        <v>200000000</v>
      </c>
    </row>
    <row r="9" spans="2:6" ht="4.5" customHeight="1" x14ac:dyDescent="0.3"/>
    <row r="10" spans="2:6" ht="21.75" customHeight="1" x14ac:dyDescent="0.3">
      <c r="B10" s="61" t="s">
        <v>43</v>
      </c>
      <c r="C10" s="61"/>
      <c r="D10" s="61"/>
      <c r="E10" s="61"/>
      <c r="F10" s="61"/>
    </row>
    <row r="11" spans="2:6" ht="19.5" customHeight="1" x14ac:dyDescent="0.3">
      <c r="B11" s="17" t="s">
        <v>44</v>
      </c>
      <c r="C11" s="20">
        <f>(Inputs!$F$6+Inputs!$C$6)-Inputs!F6</f>
        <v>5</v>
      </c>
      <c r="D11" s="20">
        <f>(Inputs!$F$6+Inputs!$C$6)-Inputs!G6</f>
        <v>4</v>
      </c>
      <c r="E11" s="20">
        <f>(Inputs!$F$6+Inputs!$C$6)-Inputs!H6</f>
        <v>2</v>
      </c>
      <c r="F11" s="20">
        <f>(Inputs!$F$6+Inputs!$C$6)-Inputs!I6</f>
        <v>1</v>
      </c>
    </row>
    <row r="12" spans="2:6" ht="19.5" customHeight="1" x14ac:dyDescent="0.3">
      <c r="B12" s="17" t="s">
        <v>86</v>
      </c>
      <c r="C12" s="18">
        <f>Inputs!F11</f>
        <v>10</v>
      </c>
      <c r="D12" s="18">
        <f>Inputs!G11</f>
        <v>5</v>
      </c>
      <c r="E12" s="18">
        <f>Inputs!H11</f>
        <v>3</v>
      </c>
      <c r="F12" s="18">
        <f>Inputs!I11</f>
        <v>2.5</v>
      </c>
    </row>
    <row r="13" spans="2:6" ht="19.5" customHeight="1" x14ac:dyDescent="0.3">
      <c r="B13" s="17" t="s">
        <v>87</v>
      </c>
      <c r="C13" s="21">
        <f>Inputs!F10</f>
        <v>0.4</v>
      </c>
      <c r="D13" s="21">
        <f>Inputs!G10</f>
        <v>0.3</v>
      </c>
      <c r="E13" s="21">
        <f>Inputs!H10</f>
        <v>0.25</v>
      </c>
      <c r="F13" s="21">
        <f>Inputs!I10</f>
        <v>0.2</v>
      </c>
    </row>
    <row r="14" spans="2:6" ht="19.5" customHeight="1" x14ac:dyDescent="0.3">
      <c r="B14" s="17" t="s">
        <v>88</v>
      </c>
      <c r="C14" s="22">
        <f>1/(1+C13)^C11</f>
        <v>0.18593443208187072</v>
      </c>
      <c r="D14" s="22">
        <f>1/(1+D13)^D11</f>
        <v>0.35012779664577565</v>
      </c>
      <c r="E14" s="22">
        <f>1/(1+E13)^E11</f>
        <v>0.64</v>
      </c>
      <c r="F14" s="22">
        <f>1/(1+F13)^F11</f>
        <v>0.83333333333333337</v>
      </c>
    </row>
    <row r="15" spans="2:6" ht="4.5" customHeight="1" x14ac:dyDescent="0.3"/>
    <row r="16" spans="2:6" ht="21.75" customHeight="1" x14ac:dyDescent="0.3">
      <c r="B16" s="61" t="s">
        <v>45</v>
      </c>
      <c r="C16" s="61"/>
      <c r="D16" s="61"/>
      <c r="E16" s="61"/>
      <c r="F16" s="61"/>
    </row>
    <row r="17" spans="2:6" ht="19.5" customHeight="1" x14ac:dyDescent="0.3">
      <c r="B17" s="19" t="s">
        <v>89</v>
      </c>
      <c r="C17" s="23">
        <f>(Inputs!$F$4*C12)/C8</f>
        <v>0.05</v>
      </c>
      <c r="D17" s="23">
        <f>(Inputs!$G$4*D12)/D8</f>
        <v>0.125</v>
      </c>
      <c r="E17" s="23">
        <f>(Inputs!$H$4*E12)/E8</f>
        <v>0.22500000000000001</v>
      </c>
      <c r="F17" s="23">
        <f>(Inputs!$I$4*F12)/F8</f>
        <v>0.5</v>
      </c>
    </row>
    <row r="18" spans="2:6" ht="19.5" customHeight="1" x14ac:dyDescent="0.3">
      <c r="B18" s="17" t="s">
        <v>90</v>
      </c>
      <c r="C18" s="24">
        <f>C17/(1-Inputs!$C$11)</f>
        <v>6.25E-2</v>
      </c>
      <c r="D18" s="24">
        <f>D17/(1-Inputs!$C$11)</f>
        <v>0.15625</v>
      </c>
      <c r="E18" s="24">
        <f>E17/(1-Inputs!$C$11)</f>
        <v>0.28125</v>
      </c>
      <c r="F18" s="24">
        <f>F17/(1-Inputs!$C$11)</f>
        <v>0.625</v>
      </c>
    </row>
    <row r="19" spans="2:6" ht="4.5" customHeight="1" x14ac:dyDescent="0.3"/>
    <row r="20" spans="2:6" ht="21.75" customHeight="1" x14ac:dyDescent="0.3">
      <c r="B20" s="61" t="s">
        <v>46</v>
      </c>
      <c r="C20" s="61"/>
      <c r="D20" s="61"/>
      <c r="E20" s="61"/>
      <c r="F20" s="61"/>
    </row>
    <row r="21" spans="2:6" ht="19.5" customHeight="1" x14ac:dyDescent="0.3">
      <c r="B21" s="19" t="s">
        <v>91</v>
      </c>
      <c r="C21" s="42">
        <f>Inputs!$F$4/C17</f>
        <v>20000000</v>
      </c>
      <c r="D21" s="42">
        <f>Inputs!$G$4/D17</f>
        <v>40000000</v>
      </c>
      <c r="E21" s="42">
        <f>Inputs!$H$4/E17</f>
        <v>66666666.666666664</v>
      </c>
      <c r="F21" s="42">
        <f>Inputs!$I$4/F17</f>
        <v>80000000</v>
      </c>
    </row>
    <row r="22" spans="2:6" ht="19.5" customHeight="1" x14ac:dyDescent="0.3">
      <c r="B22" s="19" t="s">
        <v>92</v>
      </c>
      <c r="C22" s="42">
        <f>C21-Inputs!$F$4</f>
        <v>19000000</v>
      </c>
      <c r="D22" s="42">
        <f>D21-Inputs!$G$4</f>
        <v>35000000</v>
      </c>
      <c r="E22" s="42">
        <f>E21-Inputs!$H$4</f>
        <v>51666666.666666664</v>
      </c>
      <c r="F22" s="42">
        <f>F21-Inputs!$I$4</f>
        <v>40000000</v>
      </c>
    </row>
    <row r="23" spans="2:6" ht="19.5" customHeight="1" x14ac:dyDescent="0.3">
      <c r="B23" s="17" t="s">
        <v>93</v>
      </c>
      <c r="C23" s="41">
        <f>Inputs!$F$5</f>
        <v>5000000</v>
      </c>
      <c r="D23" s="41">
        <f>Inputs!$G$5</f>
        <v>20000000</v>
      </c>
      <c r="E23" s="41">
        <f>Inputs!$H$5</f>
        <v>60000000</v>
      </c>
      <c r="F23" s="41">
        <f>Inputs!$I$5</f>
        <v>180000000</v>
      </c>
    </row>
    <row r="24" spans="2:6" ht="19.5" customHeight="1" x14ac:dyDescent="0.3">
      <c r="B24" s="19" t="s">
        <v>47</v>
      </c>
      <c r="C24" s="25" t="str">
        <f>IF(C22&gt;Inputs!$F$5,"Investor favoured","Founder favoured")</f>
        <v>Investor favoured</v>
      </c>
      <c r="D24" s="25" t="str">
        <f>IF(D22&gt;Inputs!$G$5,"Investor favoured","Founder favoured")</f>
        <v>Investor favoured</v>
      </c>
      <c r="E24" s="25" t="str">
        <f>IF(E22&gt;Inputs!$H$5,"Investor favoured","Founder favoured")</f>
        <v>Founder favoured</v>
      </c>
      <c r="F24" s="25" t="str">
        <f>IF(F22&gt;Inputs!$I$5,"Investor favoured","Founder favoured")</f>
        <v>Founder favoured</v>
      </c>
    </row>
    <row r="25" spans="2:6" ht="19.5" customHeight="1" x14ac:dyDescent="0.3">
      <c r="B25" s="17" t="s">
        <v>94</v>
      </c>
      <c r="C25" s="43">
        <f>Inputs!$F$5-C22</f>
        <v>-14000000</v>
      </c>
      <c r="D25" s="43">
        <f>Inputs!$G$5-D22</f>
        <v>-15000000</v>
      </c>
      <c r="E25" s="43">
        <f>Inputs!$H$5-E22</f>
        <v>8333333.3333333358</v>
      </c>
      <c r="F25" s="43">
        <f>Inputs!$I$5-F22</f>
        <v>140000000</v>
      </c>
    </row>
  </sheetData>
  <mergeCells count="6">
    <mergeCell ref="B20:F20"/>
    <mergeCell ref="B1:F1"/>
    <mergeCell ref="B2:F2"/>
    <mergeCell ref="B5:F5"/>
    <mergeCell ref="B10:F10"/>
    <mergeCell ref="B16:F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5"/>
  <sheetViews>
    <sheetView showGridLines="0" zoomScale="143" zoomScaleNormal="100" workbookViewId="0">
      <selection activeCell="C6" sqref="C6"/>
    </sheetView>
  </sheetViews>
  <sheetFormatPr defaultColWidth="8.6640625" defaultRowHeight="14.4" x14ac:dyDescent="0.3"/>
  <cols>
    <col min="1" max="1" width="3" customWidth="1"/>
    <col min="2" max="2" width="28" customWidth="1"/>
    <col min="3" max="7" width="15" customWidth="1"/>
    <col min="8" max="8" width="3" customWidth="1"/>
  </cols>
  <sheetData>
    <row r="1" spans="2:7" ht="27.75" customHeight="1" x14ac:dyDescent="0.35">
      <c r="B1" s="60" t="s">
        <v>48</v>
      </c>
      <c r="C1" s="60"/>
      <c r="D1" s="60"/>
      <c r="E1" s="60"/>
      <c r="F1" s="60"/>
      <c r="G1" s="60"/>
    </row>
    <row r="2" spans="2:7" ht="13.5" customHeight="1" x14ac:dyDescent="0.3">
      <c r="B2" s="62" t="s">
        <v>49</v>
      </c>
      <c r="C2" s="62"/>
      <c r="D2" s="62"/>
      <c r="E2" s="62"/>
      <c r="F2" s="62"/>
      <c r="G2" s="62"/>
    </row>
    <row r="4" spans="2:7" ht="27.75" customHeight="1" x14ac:dyDescent="0.3">
      <c r="B4" s="1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</row>
    <row r="5" spans="2:7" ht="19.5" customHeight="1" x14ac:dyDescent="0.3">
      <c r="B5" s="17" t="s">
        <v>34</v>
      </c>
      <c r="C5" s="26">
        <f>Inputs!C16</f>
        <v>0.5</v>
      </c>
      <c r="D5" s="26">
        <f>C5*(1-Inputs!$F$4/(Inputs!$F$4+Inputs!$F$5)-Inputs!$F$7)</f>
        <v>0.3666666666666667</v>
      </c>
      <c r="E5" s="26">
        <f>D5*(1-Inputs!$G$4/(Inputs!$G$4+Inputs!$G$5)-Inputs!$G$7)</f>
        <v>0.27500000000000002</v>
      </c>
      <c r="F5" s="26">
        <f>E5*(1-Inputs!$H$4/(Inputs!$H$4+Inputs!$H$5)-Inputs!$H$7)</f>
        <v>0.21175000000000002</v>
      </c>
      <c r="G5" s="26">
        <f>F5*(1-Inputs!$I$4/(Inputs!$I$4+Inputs!$I$5)-Inputs!$I$7)</f>
        <v>0.169015</v>
      </c>
    </row>
    <row r="6" spans="2:7" ht="19.5" customHeight="1" x14ac:dyDescent="0.3">
      <c r="B6" s="17" t="s">
        <v>36</v>
      </c>
      <c r="C6" s="26">
        <f>Inputs!C17</f>
        <v>0.5</v>
      </c>
      <c r="D6" s="26">
        <f>C6*(1-Inputs!$F$4/(Inputs!$F$4+Inputs!$F$5)-Inputs!$F$7)</f>
        <v>0.3666666666666667</v>
      </c>
      <c r="E6" s="26">
        <f>D6*(1-Inputs!$G$4/(Inputs!$G$4+Inputs!$G$5)-Inputs!$G$7)</f>
        <v>0.27500000000000002</v>
      </c>
      <c r="F6" s="26">
        <f>E6*(1-Inputs!$H$4/(Inputs!$H$4+Inputs!$H$5)-Inputs!$H$7)</f>
        <v>0.21175000000000002</v>
      </c>
      <c r="G6" s="26">
        <f>F6*(1-Inputs!$I$4/(Inputs!$I$4+Inputs!$I$5)-Inputs!$I$7)</f>
        <v>0.169015</v>
      </c>
    </row>
    <row r="7" spans="2:7" ht="19.5" customHeight="1" x14ac:dyDescent="0.3">
      <c r="B7" s="17" t="s">
        <v>56</v>
      </c>
      <c r="C7" s="27">
        <v>0</v>
      </c>
      <c r="D7" s="26">
        <f>Inputs!$F$4/(Inputs!$F$4+Inputs!$F$5)</f>
        <v>0.16666666666666666</v>
      </c>
      <c r="E7" s="26">
        <f>D7*(1-Inputs!$G$4/(Inputs!$G$4+Inputs!$G$5)-Inputs!$G$7)</f>
        <v>0.125</v>
      </c>
      <c r="F7" s="26">
        <f>E7*(1-Inputs!$H$4/(Inputs!$H$4+Inputs!$H$5)-Inputs!$H$7)</f>
        <v>9.6250000000000002E-2</v>
      </c>
      <c r="G7" s="26">
        <f>F7*(1-Inputs!$I$4/(Inputs!$I$4+Inputs!$I$5)-Inputs!$I$7)</f>
        <v>7.6824999999999991E-2</v>
      </c>
    </row>
    <row r="8" spans="2:7" ht="19.5" customHeight="1" x14ac:dyDescent="0.3">
      <c r="B8" s="17" t="s">
        <v>57</v>
      </c>
      <c r="C8" s="27">
        <v>0</v>
      </c>
      <c r="D8" s="27">
        <v>0</v>
      </c>
      <c r="E8" s="26">
        <f>Inputs!$G$4/(Inputs!$G$4+Inputs!$G$5)</f>
        <v>0.2</v>
      </c>
      <c r="F8" s="26">
        <f>E8*(1-Inputs!$H$4/(Inputs!$H$4+Inputs!$H$5)-Inputs!$H$7)</f>
        <v>0.15400000000000003</v>
      </c>
      <c r="G8" s="26">
        <f>F8*(1-Inputs!$I$4/(Inputs!$I$4+Inputs!$I$5)-Inputs!$I$7)</f>
        <v>0.12292000000000002</v>
      </c>
    </row>
    <row r="9" spans="2:7" ht="19.5" customHeight="1" x14ac:dyDescent="0.3">
      <c r="B9" s="17" t="s">
        <v>58</v>
      </c>
      <c r="C9" s="27">
        <v>0</v>
      </c>
      <c r="D9" s="27">
        <v>0</v>
      </c>
      <c r="E9" s="27">
        <v>0</v>
      </c>
      <c r="F9" s="26">
        <f>Inputs!$H$4/(Inputs!$H$4+Inputs!$H$5)</f>
        <v>0.2</v>
      </c>
      <c r="G9" s="26">
        <f>F9*(1-Inputs!$I$4/(Inputs!$I$4+Inputs!$I$5)-Inputs!$I$7)</f>
        <v>0.15963636363636363</v>
      </c>
    </row>
    <row r="10" spans="2:7" ht="19.5" customHeight="1" x14ac:dyDescent="0.3">
      <c r="B10" s="17" t="s">
        <v>59</v>
      </c>
      <c r="C10" s="27">
        <v>0</v>
      </c>
      <c r="D10" s="27">
        <v>0</v>
      </c>
      <c r="E10" s="27">
        <v>0</v>
      </c>
      <c r="F10" s="27">
        <v>0</v>
      </c>
      <c r="G10" s="26">
        <f>Inputs!$I$4/(Inputs!$I$4+Inputs!$I$5)</f>
        <v>0.18181818181818182</v>
      </c>
    </row>
    <row r="11" spans="2:7" ht="19.5" customHeight="1" x14ac:dyDescent="0.3">
      <c r="B11" s="17" t="s">
        <v>60</v>
      </c>
      <c r="C11" s="27">
        <v>0</v>
      </c>
      <c r="D11" s="26">
        <f>Inputs!$F$7</f>
        <v>0.1</v>
      </c>
      <c r="E11" s="26">
        <f>D11*(1-Inputs!$G$4/(Inputs!$G$4+Inputs!$G$5))+Inputs!$G$7</f>
        <v>0.13</v>
      </c>
      <c r="F11" s="26">
        <f>E11*(1-Inputs!$H$4/(Inputs!$H$4+Inputs!$H$5))+Inputs!$H$7</f>
        <v>0.13400000000000001</v>
      </c>
      <c r="G11" s="26">
        <f>F11*(1-Inputs!$I$4/(Inputs!$I$4+Inputs!$I$5))+Inputs!$I$7</f>
        <v>0.12963636363636363</v>
      </c>
    </row>
    <row r="12" spans="2:7" ht="4.5" customHeight="1" x14ac:dyDescent="0.3"/>
    <row r="13" spans="2:7" ht="21.75" customHeight="1" x14ac:dyDescent="0.3">
      <c r="B13" s="1" t="s">
        <v>61</v>
      </c>
      <c r="C13" s="9">
        <f>SUM(C5:C11)</f>
        <v>1</v>
      </c>
      <c r="D13" s="9">
        <f>SUM(D5:D11)</f>
        <v>1</v>
      </c>
      <c r="E13" s="9">
        <f>SUM(E5:E11)</f>
        <v>1.0049999999999999</v>
      </c>
      <c r="F13" s="9">
        <f>SUM(F5:F11)</f>
        <v>1.0077500000000001</v>
      </c>
      <c r="G13" s="9">
        <f>SUM(G5:G11)</f>
        <v>1.0088659090909091</v>
      </c>
    </row>
    <row r="15" spans="2:7" ht="19.5" customHeight="1" x14ac:dyDescent="0.3">
      <c r="B15" s="19" t="s">
        <v>62</v>
      </c>
      <c r="C15" s="28">
        <f>C5+C6</f>
        <v>1</v>
      </c>
      <c r="D15" s="28">
        <f>D5+D6</f>
        <v>0.73333333333333339</v>
      </c>
      <c r="E15" s="28">
        <f>E5+E6</f>
        <v>0.55000000000000004</v>
      </c>
      <c r="F15" s="28">
        <f>F5+F6</f>
        <v>0.42350000000000004</v>
      </c>
      <c r="G15" s="28">
        <f>G5+G6</f>
        <v>0.33803</v>
      </c>
    </row>
  </sheetData>
  <mergeCells count="2">
    <mergeCell ref="B1:G1"/>
    <mergeCell ref="B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"/>
  <sheetViews>
    <sheetView showGridLines="0" zoomScale="125" zoomScaleNormal="100" workbookViewId="0">
      <selection activeCell="H10" sqref="H10"/>
    </sheetView>
  </sheetViews>
  <sheetFormatPr defaultColWidth="8.6640625" defaultRowHeight="14.4" x14ac:dyDescent="0.3"/>
  <cols>
    <col min="1" max="1" width="3" customWidth="1"/>
    <col min="2" max="2" width="22" customWidth="1"/>
    <col min="3" max="3" width="14" customWidth="1"/>
    <col min="4" max="4" width="16" customWidth="1"/>
    <col min="5" max="6" width="12" customWidth="1"/>
    <col min="7" max="7" width="16" customWidth="1"/>
    <col min="8" max="9" width="12" customWidth="1"/>
    <col min="10" max="10" width="3" customWidth="1"/>
  </cols>
  <sheetData>
    <row r="1" spans="2:9" ht="27.75" customHeight="1" x14ac:dyDescent="0.35">
      <c r="B1" s="60" t="s">
        <v>63</v>
      </c>
      <c r="C1" s="60"/>
      <c r="D1" s="60"/>
      <c r="E1" s="60"/>
      <c r="F1" s="60"/>
      <c r="G1" s="60"/>
      <c r="H1" s="60"/>
      <c r="I1" s="60"/>
    </row>
    <row r="2" spans="2:9" ht="13.5" customHeight="1" x14ac:dyDescent="0.3">
      <c r="B2" s="62" t="s">
        <v>64</v>
      </c>
      <c r="C2" s="62"/>
      <c r="D2" s="62"/>
      <c r="E2" s="62"/>
      <c r="F2" s="62"/>
      <c r="G2" s="62"/>
      <c r="H2" s="62"/>
      <c r="I2" s="62"/>
    </row>
    <row r="4" spans="2:9" ht="36" customHeight="1" x14ac:dyDescent="0.3">
      <c r="B4" s="10" t="s">
        <v>65</v>
      </c>
      <c r="C4" s="10" t="s">
        <v>66</v>
      </c>
      <c r="D4" s="10" t="s">
        <v>21</v>
      </c>
      <c r="E4" s="10" t="s">
        <v>67</v>
      </c>
      <c r="F4" s="10" t="s">
        <v>68</v>
      </c>
      <c r="G4" s="10" t="s">
        <v>69</v>
      </c>
      <c r="H4" s="10" t="s">
        <v>70</v>
      </c>
      <c r="I4" s="10" t="s">
        <v>71</v>
      </c>
    </row>
    <row r="5" spans="2:9" ht="21.75" customHeight="1" x14ac:dyDescent="0.3">
      <c r="B5" s="19" t="s">
        <v>16</v>
      </c>
      <c r="C5" s="29">
        <f>'Cap Table'!G7</f>
        <v>7.6824999999999991E-2</v>
      </c>
      <c r="D5" s="41">
        <f>Inputs!$F$4</f>
        <v>1000000</v>
      </c>
      <c r="E5" s="30">
        <f>Inputs!$F$6</f>
        <v>2026</v>
      </c>
      <c r="F5" s="20">
        <f>(Inputs!$F$6+Inputs!$C$6)-E5</f>
        <v>5</v>
      </c>
      <c r="G5" s="42">
        <f>C5*Inputs!$C$4*Inputs!$C$5</f>
        <v>15364999.999999998</v>
      </c>
      <c r="H5" s="31">
        <f>IFERROR(G5/D5,0)</f>
        <v>15.364999999999998</v>
      </c>
      <c r="I5" s="32">
        <f>IFERROR((G5/D5)^(1/F5)-1,0)</f>
        <v>0.72705637011696811</v>
      </c>
    </row>
    <row r="6" spans="2:9" ht="21.75" customHeight="1" x14ac:dyDescent="0.3">
      <c r="B6" s="19" t="s">
        <v>17</v>
      </c>
      <c r="C6" s="29">
        <f>'Cap Table'!G8</f>
        <v>0.12292000000000002</v>
      </c>
      <c r="D6" s="41">
        <f>Inputs!$G$4</f>
        <v>5000000</v>
      </c>
      <c r="E6" s="30">
        <f>Inputs!$G$6</f>
        <v>2027</v>
      </c>
      <c r="F6" s="20">
        <f>(Inputs!$F$6+Inputs!$C$6)-E6</f>
        <v>4</v>
      </c>
      <c r="G6" s="42">
        <f>C6*Inputs!$C$4*Inputs!$C$5</f>
        <v>24584000.000000004</v>
      </c>
      <c r="H6" s="31">
        <f>IFERROR(G6/D6,0)</f>
        <v>4.9168000000000012</v>
      </c>
      <c r="I6" s="32">
        <f>IFERROR((G6/D6)^(1/F6)-1,0)</f>
        <v>0.48908893228229733</v>
      </c>
    </row>
    <row r="7" spans="2:9" ht="21.75" customHeight="1" x14ac:dyDescent="0.3">
      <c r="B7" s="19" t="s">
        <v>18</v>
      </c>
      <c r="C7" s="29">
        <f>'Cap Table'!G9</f>
        <v>0.15963636363636363</v>
      </c>
      <c r="D7" s="41">
        <f>Inputs!$H$4</f>
        <v>15000000</v>
      </c>
      <c r="E7" s="30">
        <f>Inputs!$H$6</f>
        <v>2029</v>
      </c>
      <c r="F7" s="20">
        <f>(Inputs!$F$6+Inputs!$C$6)-E7</f>
        <v>2</v>
      </c>
      <c r="G7" s="42">
        <f>C7*Inputs!$C$4*Inputs!$C$5</f>
        <v>31927272.727272727</v>
      </c>
      <c r="H7" s="31">
        <f>IFERROR(G7/D7,0)</f>
        <v>2.1284848484848484</v>
      </c>
      <c r="I7" s="32">
        <f>IFERROR((G7/D7)^(1/F7)-1,0)</f>
        <v>0.45893277723301851</v>
      </c>
    </row>
    <row r="8" spans="2:9" ht="21.75" customHeight="1" x14ac:dyDescent="0.3">
      <c r="B8" s="19" t="s">
        <v>19</v>
      </c>
      <c r="C8" s="29">
        <f>'Cap Table'!G10</f>
        <v>0.18181818181818182</v>
      </c>
      <c r="D8" s="41">
        <f>Inputs!$I$4</f>
        <v>40000000</v>
      </c>
      <c r="E8" s="30">
        <f>Inputs!$I$6</f>
        <v>2030</v>
      </c>
      <c r="F8" s="20">
        <f>(Inputs!$F$6+Inputs!$C$6)-E8</f>
        <v>1</v>
      </c>
      <c r="G8" s="42">
        <f>C8*Inputs!$C$4*Inputs!$C$5</f>
        <v>36363636.363636367</v>
      </c>
      <c r="H8" s="31">
        <f>IFERROR(G8/D8,0)</f>
        <v>0.90909090909090917</v>
      </c>
      <c r="I8" s="32">
        <f>IFERROR((G8/D8)^(1/F8)-1,0)</f>
        <v>-9.0909090909090828E-2</v>
      </c>
    </row>
    <row r="10" spans="2:9" ht="21.75" customHeight="1" x14ac:dyDescent="0.3">
      <c r="B10" s="1" t="s">
        <v>61</v>
      </c>
      <c r="C10" s="11"/>
      <c r="D10" s="44">
        <f>SUM(D5:D8)</f>
        <v>61000000</v>
      </c>
      <c r="E10" s="11"/>
      <c r="F10" s="11"/>
      <c r="G10" s="44">
        <f>SUM(G5:G8)</f>
        <v>108239909.09090909</v>
      </c>
      <c r="H10" s="12">
        <f>IFERROR(G10/D10,0)</f>
        <v>1.774424739195231</v>
      </c>
      <c r="I10" s="11"/>
    </row>
  </sheetData>
  <mergeCells count="2">
    <mergeCell ref="B1:I1"/>
    <mergeCell ref="B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19"/>
  <sheetViews>
    <sheetView showGridLines="0" zoomScaleNormal="100" workbookViewId="0">
      <selection activeCell="H12" sqref="H12"/>
    </sheetView>
  </sheetViews>
  <sheetFormatPr defaultColWidth="8.6640625" defaultRowHeight="14.4" x14ac:dyDescent="0.3"/>
  <cols>
    <col min="1" max="1" width="3" customWidth="1"/>
    <col min="2" max="2" width="25.21875" bestFit="1" customWidth="1"/>
    <col min="3" max="6" width="16.77734375" customWidth="1"/>
    <col min="7" max="30" width="12" customWidth="1"/>
  </cols>
  <sheetData>
    <row r="1" spans="2:13" ht="30" customHeight="1" x14ac:dyDescent="0.4">
      <c r="B1" s="68" t="s">
        <v>72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3" spans="2:13" ht="22.05" customHeight="1" x14ac:dyDescent="0.3">
      <c r="B3" s="69" t="s">
        <v>73</v>
      </c>
      <c r="C3" s="69"/>
      <c r="D3" s="69" t="s">
        <v>74</v>
      </c>
      <c r="E3" s="69"/>
      <c r="F3" s="69" t="s">
        <v>75</v>
      </c>
      <c r="G3" s="69"/>
      <c r="H3" s="69" t="s">
        <v>76</v>
      </c>
      <c r="I3" s="69"/>
      <c r="J3" s="69" t="s">
        <v>77</v>
      </c>
      <c r="K3" s="69"/>
    </row>
    <row r="4" spans="2:13" ht="36" customHeight="1" x14ac:dyDescent="0.3">
      <c r="B4" s="65">
        <f>'Investor Returns'!I5</f>
        <v>0.72705637011696811</v>
      </c>
      <c r="C4" s="65"/>
      <c r="D4" s="66">
        <f>'Investor Returns'!G10-'Investor Returns'!D10</f>
        <v>47239909.090909094</v>
      </c>
      <c r="E4" s="66"/>
      <c r="F4" s="67">
        <f>'Investor Returns'!H10</f>
        <v>1.774424739195231</v>
      </c>
      <c r="G4" s="67"/>
      <c r="H4" s="65">
        <f>'Cap Table'!G15</f>
        <v>0.33803</v>
      </c>
      <c r="I4" s="65"/>
      <c r="J4" s="66">
        <f>Inputs!$C$4*Inputs!$C$5</f>
        <v>200000000</v>
      </c>
      <c r="K4" s="66"/>
    </row>
    <row r="5" spans="2:13" ht="3.75" customHeight="1" x14ac:dyDescent="0.3"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2:13" ht="4.5" customHeight="1" x14ac:dyDescent="0.3"/>
    <row r="7" spans="2:13" ht="21.75" customHeight="1" x14ac:dyDescent="0.3">
      <c r="B7" s="58" t="s">
        <v>78</v>
      </c>
      <c r="C7" s="63"/>
      <c r="D7" s="63"/>
      <c r="E7" s="63"/>
      <c r="F7" s="63"/>
    </row>
    <row r="8" spans="2:13" ht="21.75" customHeight="1" x14ac:dyDescent="0.3">
      <c r="B8" s="13"/>
      <c r="C8" s="2" t="s">
        <v>16</v>
      </c>
      <c r="D8" s="2" t="s">
        <v>17</v>
      </c>
      <c r="E8" s="2" t="s">
        <v>18</v>
      </c>
      <c r="F8" s="2" t="s">
        <v>19</v>
      </c>
    </row>
    <row r="9" spans="2:13" ht="19.5" customHeight="1" x14ac:dyDescent="0.3">
      <c r="B9" s="17" t="s">
        <v>21</v>
      </c>
      <c r="C9" s="41">
        <f>Inputs!$F$4</f>
        <v>1000000</v>
      </c>
      <c r="D9" s="41">
        <f>Inputs!$G$4</f>
        <v>5000000</v>
      </c>
      <c r="E9" s="41">
        <f>Inputs!$H$4</f>
        <v>15000000</v>
      </c>
      <c r="F9" s="41">
        <f>Inputs!$I$4</f>
        <v>40000000</v>
      </c>
    </row>
    <row r="10" spans="2:13" ht="19.5" customHeight="1" x14ac:dyDescent="0.3">
      <c r="B10" s="17" t="s">
        <v>79</v>
      </c>
      <c r="C10" s="41">
        <f>Inputs!$F$5</f>
        <v>5000000</v>
      </c>
      <c r="D10" s="41">
        <f>Inputs!$G$5</f>
        <v>20000000</v>
      </c>
      <c r="E10" s="41">
        <f>Inputs!$H$5</f>
        <v>60000000</v>
      </c>
      <c r="F10" s="41">
        <f>Inputs!$I$5</f>
        <v>180000000</v>
      </c>
    </row>
    <row r="11" spans="2:13" ht="19.5" customHeight="1" x14ac:dyDescent="0.3">
      <c r="B11" s="17" t="s">
        <v>80</v>
      </c>
      <c r="C11" s="41">
        <f>Inputs!$F$4+Inputs!$F$5</f>
        <v>6000000</v>
      </c>
      <c r="D11" s="41">
        <f>Inputs!$G$4+Inputs!$G$5</f>
        <v>25000000</v>
      </c>
      <c r="E11" s="41">
        <f>Inputs!$H$4+Inputs!$H$5</f>
        <v>75000000</v>
      </c>
      <c r="F11" s="41">
        <f>Inputs!$I$4+Inputs!$I$5</f>
        <v>220000000</v>
      </c>
    </row>
    <row r="12" spans="2:13" ht="19.5" customHeight="1" x14ac:dyDescent="0.3">
      <c r="B12" s="17" t="s">
        <v>81</v>
      </c>
      <c r="C12" s="26">
        <f>Inputs!$F$4/(Inputs!$F$4+Inputs!$F$5)</f>
        <v>0.16666666666666666</v>
      </c>
      <c r="D12" s="26">
        <f>Inputs!$G$4/(Inputs!$G$4+Inputs!$G$5)</f>
        <v>0.2</v>
      </c>
      <c r="E12" s="26">
        <f>Inputs!$H$4/(Inputs!$H$4+Inputs!$H$5)</f>
        <v>0.2</v>
      </c>
      <c r="F12" s="26">
        <f>Inputs!$I$4/(Inputs!$I$4+Inputs!$I$5)</f>
        <v>0.18181818181818182</v>
      </c>
    </row>
    <row r="13" spans="2:13" ht="19.5" customHeight="1" x14ac:dyDescent="0.3">
      <c r="B13" s="17" t="s">
        <v>69</v>
      </c>
      <c r="C13" s="41">
        <f>'Investor Returns'!G5</f>
        <v>15364999.999999998</v>
      </c>
      <c r="D13" s="41">
        <f>'Investor Returns'!G6</f>
        <v>24584000.000000004</v>
      </c>
      <c r="E13" s="41">
        <f>'Investor Returns'!G7</f>
        <v>31927272.727272727</v>
      </c>
      <c r="F13" s="41">
        <f>'Investor Returns'!G8</f>
        <v>36363636.363636367</v>
      </c>
    </row>
    <row r="14" spans="2:13" ht="19.5" customHeight="1" x14ac:dyDescent="0.3">
      <c r="B14" s="17" t="s">
        <v>70</v>
      </c>
      <c r="C14" s="33">
        <f>'Investor Returns'!H5</f>
        <v>15.364999999999998</v>
      </c>
      <c r="D14" s="33">
        <f>'Investor Returns'!H6</f>
        <v>4.9168000000000012</v>
      </c>
      <c r="E14" s="33">
        <f>'Investor Returns'!H7</f>
        <v>2.1284848484848484</v>
      </c>
      <c r="F14" s="33">
        <f>'Investor Returns'!H8</f>
        <v>0.90909090909090917</v>
      </c>
    </row>
    <row r="15" spans="2:13" ht="4.5" customHeight="1" x14ac:dyDescent="0.3"/>
    <row r="17" spans="2:6" ht="15.75" customHeight="1" x14ac:dyDescent="0.3">
      <c r="B17" s="58" t="s">
        <v>84</v>
      </c>
      <c r="C17" s="63"/>
      <c r="D17" s="63"/>
      <c r="E17" s="63"/>
      <c r="F17" s="63"/>
    </row>
    <row r="18" spans="2:6" ht="19.5" customHeight="1" x14ac:dyDescent="0.3">
      <c r="B18" s="19" t="s">
        <v>65</v>
      </c>
      <c r="C18" s="34" t="s">
        <v>16</v>
      </c>
      <c r="D18" s="34" t="s">
        <v>17</v>
      </c>
      <c r="E18" s="34" t="s">
        <v>18</v>
      </c>
      <c r="F18" s="34" t="s">
        <v>19</v>
      </c>
    </row>
    <row r="19" spans="2:6" ht="19.5" customHeight="1" x14ac:dyDescent="0.3">
      <c r="B19" s="19" t="s">
        <v>70</v>
      </c>
      <c r="C19" s="35">
        <f>'Investor Returns'!H5</f>
        <v>15.364999999999998</v>
      </c>
      <c r="D19" s="35">
        <f>'Investor Returns'!H6</f>
        <v>4.9168000000000012</v>
      </c>
      <c r="E19" s="35">
        <f>'Investor Returns'!H7</f>
        <v>2.1284848484848484</v>
      </c>
      <c r="F19" s="35">
        <f>'Investor Returns'!H8</f>
        <v>0.90909090909090917</v>
      </c>
    </row>
  </sheetData>
  <mergeCells count="18">
    <mergeCell ref="B1:M1"/>
    <mergeCell ref="B3:C3"/>
    <mergeCell ref="D3:E3"/>
    <mergeCell ref="F3:G3"/>
    <mergeCell ref="H3:I3"/>
    <mergeCell ref="J3:K3"/>
    <mergeCell ref="H5:I5"/>
    <mergeCell ref="J5:K5"/>
    <mergeCell ref="B4:C4"/>
    <mergeCell ref="D4:E4"/>
    <mergeCell ref="F4:G4"/>
    <mergeCell ref="H4:I4"/>
    <mergeCell ref="J4:K4"/>
    <mergeCell ref="B7:F7"/>
    <mergeCell ref="B17:F17"/>
    <mergeCell ref="B5:C5"/>
    <mergeCell ref="D5:E5"/>
    <mergeCell ref="F5:G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 - VC Method</vt:lpstr>
      <vt:lpstr>Cover</vt:lpstr>
      <vt:lpstr>Inputs</vt:lpstr>
      <vt:lpstr>VC Method</vt:lpstr>
      <vt:lpstr>Cap Table</vt:lpstr>
      <vt:lpstr>Investor Returns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Asif Shukoor</cp:lastModifiedBy>
  <cp:revision>1</cp:revision>
  <dcterms:created xsi:type="dcterms:W3CDTF">2026-05-01T05:58:56Z</dcterms:created>
  <dcterms:modified xsi:type="dcterms:W3CDTF">2026-06-23T18:28:01Z</dcterms:modified>
  <dc:language>en-US</dc:language>
</cp:coreProperties>
</file>