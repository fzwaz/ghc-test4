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1D305283-310C-4EEE-B905-1F67AC7690A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Instructions - PTA" sheetId="1" r:id="rId1"/>
    <sheet name="Precedent Transaction Analys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2" l="1"/>
  <c r="I30" i="2"/>
  <c r="D30" i="2"/>
  <c r="I29" i="2"/>
  <c r="D29" i="2"/>
  <c r="I28" i="2"/>
  <c r="D28" i="2"/>
  <c r="O13" i="2"/>
  <c r="N13" i="2"/>
  <c r="M13" i="2"/>
  <c r="L13" i="2"/>
  <c r="G13" i="2"/>
  <c r="O12" i="2"/>
  <c r="N12" i="2"/>
  <c r="M12" i="2"/>
  <c r="L12" i="2"/>
  <c r="G12" i="2"/>
  <c r="O11" i="2"/>
  <c r="N11" i="2"/>
  <c r="G11" i="2"/>
  <c r="M11" i="2" s="1"/>
  <c r="O10" i="2"/>
  <c r="N10" i="2"/>
  <c r="M10" i="2"/>
  <c r="L10" i="2"/>
  <c r="G10" i="2"/>
  <c r="O9" i="2"/>
  <c r="N9" i="2"/>
  <c r="M9" i="2"/>
  <c r="L9" i="2"/>
  <c r="G9" i="2"/>
  <c r="O8" i="2"/>
  <c r="O19" i="2" s="1"/>
  <c r="M8" i="2"/>
  <c r="M19" i="2" s="1"/>
  <c r="L8" i="2"/>
  <c r="G8" i="2"/>
  <c r="N8" i="2" s="1"/>
  <c r="N19" i="2" l="1"/>
  <c r="N18" i="2"/>
  <c r="C30" i="2" s="1"/>
  <c r="F30" i="2" s="1"/>
  <c r="K30" i="2" s="1"/>
  <c r="N20" i="2"/>
  <c r="N17" i="2"/>
  <c r="L19" i="2"/>
  <c r="L20" i="2"/>
  <c r="O17" i="2"/>
  <c r="M17" i="2"/>
  <c r="O20" i="2"/>
  <c r="L18" i="2"/>
  <c r="C28" i="2" s="1"/>
  <c r="F28" i="2" s="1"/>
  <c r="K28" i="2" s="1"/>
  <c r="K32" i="2" s="1" a="1"/>
  <c r="K32" i="2" s="1"/>
  <c r="L17" i="2"/>
  <c r="M20" i="2"/>
  <c r="M18" i="2"/>
  <c r="C29" i="2" s="1"/>
  <c r="F29" i="2" s="1"/>
  <c r="K29" i="2" s="1"/>
  <c r="O18" i="2"/>
  <c r="C31" i="2" s="1"/>
  <c r="K31" i="2" s="1"/>
  <c r="L11" i="2"/>
</calcChain>
</file>

<file path=xl/sharedStrings.xml><?xml version="1.0" encoding="utf-8"?>
<sst xmlns="http://schemas.openxmlformats.org/spreadsheetml/2006/main" count="99" uniqueCount="81">
  <si>
    <t>Step-by-Step Instructions</t>
  </si>
  <si>
    <t>Steps</t>
  </si>
  <si>
    <t>Details</t>
  </si>
  <si>
    <t>Go to the "Precedent Transaction Analysis" sheet</t>
  </si>
  <si>
    <t>Add or remove deals using the blank rows to keep the set relevant and recent</t>
  </si>
  <si>
    <t>Review the implied valuation in section 4 (uses the deal-set median multiple)</t>
  </si>
  <si>
    <t>What Each Input Means</t>
  </si>
  <si>
    <t>Metric</t>
  </si>
  <si>
    <t>Description</t>
  </si>
  <si>
    <t>Date / Acquirer / Target</t>
  </si>
  <si>
    <t>Identifies each comparable M&amp;A deal; favour recent, relevant transactions.</t>
  </si>
  <si>
    <t>Equity Value (Offer)</t>
  </si>
  <si>
    <t>Price paid for the target’s equity in the deal (all $ in thousands).</t>
  </si>
  <si>
    <t>Net Debt</t>
  </si>
  <si>
    <t>Target net debt at announcement; added to equity value to reach Transaction Value (TEV).</t>
  </si>
  <si>
    <t>Sales / EBITDA / EBIT / Earnings</t>
  </si>
  <si>
    <t>Target financials at deal time that form the denominators of the transaction multiples.</t>
  </si>
  <si>
    <t>Target Sales / EBITDA / EBIT / Earnings</t>
  </si>
  <si>
    <t>Your company’s financials, multiplied by the deal-set median to imply value.</t>
  </si>
  <si>
    <t>Net Debt (your target)</t>
  </si>
  <si>
    <t>Your target’s net debt subtracted from enterprise value to reach equity value.</t>
  </si>
  <si>
    <t>Important Guidelines</t>
  </si>
  <si>
    <t>Guideline</t>
  </si>
  <si>
    <t>Use recent deals</t>
  </si>
  <si>
    <t>Transaction multiples reflect market conditions; prioritise deals from the last few years.</t>
  </si>
  <si>
    <t>Pick true comparables</t>
  </si>
  <si>
    <t>Choose deals with targets similar in industry, size, and growth; remove outliers.</t>
  </si>
  <si>
    <t>Mind the control premium</t>
  </si>
  <si>
    <t>Deal multiples include a premium for control, so they typically exceed trading comps.</t>
  </si>
  <si>
    <t>Triangulate</t>
  </si>
  <si>
    <t>PTA is an estimate — pair it with other valuation methods.</t>
  </si>
  <si>
    <t>Precedent Transaction Analysis</t>
  </si>
  <si>
    <t>Value a company from the multiples paid in comparable M&amp;A deals ($ in thousands)</t>
  </si>
  <si>
    <t xml:space="preserve">  1 · Comparable deals — enter each transaction (blue), multiples calculate automatically</t>
  </si>
  <si>
    <t>Deal</t>
  </si>
  <si>
    <t>Target financials at deal</t>
  </si>
  <si>
    <t>Multiples (auto)</t>
  </si>
  <si>
    <t>Date</t>
  </si>
  <si>
    <t>Acquirer</t>
  </si>
  <si>
    <t>Target</t>
  </si>
  <si>
    <t>Equity Value</t>
  </si>
  <si>
    <t>TEV (EV)</t>
  </si>
  <si>
    <t>Sales</t>
  </si>
  <si>
    <t>EBITDA</t>
  </si>
  <si>
    <t>EBIT</t>
  </si>
  <si>
    <t>Earnings</t>
  </si>
  <si>
    <t>EV/Sales</t>
  </si>
  <si>
    <t>EV/EBITDA</t>
  </si>
  <si>
    <t>EV/EBIT</t>
  </si>
  <si>
    <t>P/E</t>
  </si>
  <si>
    <t>2024</t>
  </si>
  <si>
    <t>Salesforce</t>
  </si>
  <si>
    <t>Slack</t>
  </si>
  <si>
    <t>2023</t>
  </si>
  <si>
    <t>Adobe</t>
  </si>
  <si>
    <t>Figma</t>
  </si>
  <si>
    <t>2022</t>
  </si>
  <si>
    <t>Microsoft</t>
  </si>
  <si>
    <t>Nuance</t>
  </si>
  <si>
    <t>2021</t>
  </si>
  <si>
    <t>Intuit</t>
  </si>
  <si>
    <t>Mailchimp</t>
  </si>
  <si>
    <t xml:space="preserve">  2 · Transaction multiple statistics</t>
  </si>
  <si>
    <t>Statistic</t>
  </si>
  <si>
    <t>Average</t>
  </si>
  <si>
    <t>Median</t>
  </si>
  <si>
    <t>25th percentile</t>
  </si>
  <si>
    <t>75th percentile</t>
  </si>
  <si>
    <t xml:space="preserve">  3 · Target company — enter financials (blue); implied value uses the deal-set median</t>
  </si>
  <si>
    <t>Your target</t>
  </si>
  <si>
    <t xml:space="preserve">  4 · Implied valuation (deal-set median multiple × target metric)</t>
  </si>
  <si>
    <t>Multiple</t>
  </si>
  <si>
    <t>Target metric</t>
  </si>
  <si>
    <t>Implied Enterprise Value</t>
  </si>
  <si>
    <t>Less net debt</t>
  </si>
  <si>
    <t>Implied Equity Value</t>
  </si>
  <si>
    <t>—</t>
  </si>
  <si>
    <t xml:space="preserve">Implied Equity Value range (min – max)   </t>
  </si>
  <si>
    <t>Blue cells are inputs (all $ in thousands). TEV = equity value paid + target net debt; multiples and statistics calculate automatically. EV-based rows subtract your target's net debt to reach equity value, while P/E gives equity value directly. Deal multiples include a control premium, so they usually exceed trading comps — the median is used to limit outlier distortion. Add or remove deals in the blank rows. PTA is an estimate; pair it with other methods.</t>
  </si>
  <si>
    <t>In section 1, enter each comparable deal in the light green cells (multiples calculate automatically)</t>
  </si>
  <si>
    <t>In section 3, enter your target company’s financials in the light green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</si>
</sst>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0\x"/>
  </numFmts>
  <fonts count="11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20"/>
      <color rgb="FF2E5E4E"/>
      <name val="Arial"/>
      <charset val="1"/>
    </font>
    <font>
      <i/>
      <sz val="11"/>
      <color rgb="FF6B748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1A2233"/>
      <name val="Arial"/>
      <charset val="1"/>
    </font>
    <font>
      <i/>
      <sz val="11"/>
      <color rgb="FF9AA3AD"/>
      <name val="Arial"/>
      <charset val="1"/>
    </font>
    <font>
      <sz val="11"/>
      <name val="Arial"/>
      <family val="2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rgb="FF003366"/>
      </patternFill>
    </fill>
    <fill>
      <patternFill patternType="solid">
        <fgColor rgb="FF2E5E4E"/>
        <bgColor rgb="FF44705E"/>
      </patternFill>
    </fill>
    <fill>
      <patternFill patternType="solid">
        <fgColor rgb="FF44705E"/>
        <bgColor rgb="FF2E5E4E"/>
      </patternFill>
    </fill>
    <fill>
      <patternFill patternType="solid">
        <fgColor rgb="FFE7F0EB"/>
        <bgColor rgb="FFF4F6F8"/>
      </patternFill>
    </fill>
    <fill>
      <patternFill patternType="solid">
        <fgColor rgb="FFF4F6F8"/>
        <bgColor rgb="FFFFFFFF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  <diagonal/>
    </border>
    <border>
      <left style="thin">
        <color rgb="FFD7DCE2"/>
      </left>
      <right/>
      <top style="thin">
        <color rgb="FFD7DCE2"/>
      </top>
      <bottom style="thin">
        <color rgb="FFD7DCE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/>
    </xf>
    <xf numFmtId="164" fontId="9" fillId="5" borderId="2" xfId="0" applyNumberFormat="1" applyFont="1" applyFill="1" applyBorder="1" applyAlignment="1">
      <alignment horizontal="right" vertical="center"/>
    </xf>
    <xf numFmtId="0" fontId="10" fillId="0" borderId="0" xfId="0" applyFont="1"/>
    <xf numFmtId="0" fontId="9" fillId="6" borderId="2" xfId="0" applyFont="1" applyFill="1" applyBorder="1" applyAlignment="1">
      <alignment horizontal="left" vertical="center"/>
    </xf>
    <xf numFmtId="164" fontId="9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BFBFBF"/>
      <rgbColor rgb="FF808080"/>
      <rgbColor rgb="FF9999FF"/>
      <rgbColor rgb="FF993366"/>
      <rgbColor rgb="FFF4F6F8"/>
      <rgbColor rgb="FFE7F0EB"/>
      <rgbColor rgb="FF660066"/>
      <rgbColor rgb="FFFF8080"/>
      <rgbColor rgb="FF0066CC"/>
      <rgbColor rgb="FFD7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AA3AD"/>
      <rgbColor rgb="FF003366"/>
      <rgbColor rgb="FF44705E"/>
      <rgbColor rgb="FF003300"/>
      <rgbColor rgb="FF333300"/>
      <rgbColor rgb="FF993300"/>
      <rgbColor rgb="FF993366"/>
      <rgbColor rgb="FF254061"/>
      <rgbColor rgb="FF1A2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B2:L29"/>
  <sheetViews>
    <sheetView showGridLines="0" tabSelected="1" zoomScaleNormal="100" workbookViewId="0">
      <selection activeCell="H11" sqref="H11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5546875" customWidth="1"/>
    <col min="4" max="4" width="14.77734375" customWidth="1"/>
    <col min="5" max="5" width="10.5546875" customWidth="1"/>
    <col min="9" max="9" width="22.88671875" customWidth="1"/>
    <col min="10" max="10" width="14.88671875" customWidth="1"/>
  </cols>
  <sheetData>
    <row r="2" spans="2:12" ht="18.75" customHeight="1" x14ac:dyDescent="0.35">
      <c r="B2" s="2" t="s">
        <v>0</v>
      </c>
    </row>
    <row r="4" spans="2:12" x14ac:dyDescent="0.3">
      <c r="B4" s="1" t="s">
        <v>1</v>
      </c>
      <c r="C4" s="19" t="s">
        <v>2</v>
      </c>
      <c r="D4" s="19"/>
      <c r="E4" s="19"/>
      <c r="F4" s="19"/>
      <c r="G4" s="19"/>
      <c r="H4" s="19"/>
      <c r="I4" s="19"/>
    </row>
    <row r="5" spans="2:12" x14ac:dyDescent="0.3">
      <c r="B5" s="3">
        <v>1</v>
      </c>
      <c r="C5" s="20" t="s">
        <v>3</v>
      </c>
      <c r="D5" s="20"/>
      <c r="E5" s="20"/>
      <c r="F5" s="20"/>
      <c r="G5" s="20"/>
      <c r="H5" s="20"/>
      <c r="I5" s="20"/>
    </row>
    <row r="6" spans="2:12" x14ac:dyDescent="0.3">
      <c r="B6" s="3">
        <v>2</v>
      </c>
      <c r="C6" s="20" t="s">
        <v>79</v>
      </c>
      <c r="D6" s="20"/>
      <c r="E6" s="20"/>
      <c r="F6" s="20"/>
      <c r="G6" s="20"/>
      <c r="H6" s="20"/>
      <c r="I6" s="20"/>
    </row>
    <row r="7" spans="2:12" x14ac:dyDescent="0.3">
      <c r="B7" s="3">
        <v>3</v>
      </c>
      <c r="C7" s="20" t="s">
        <v>4</v>
      </c>
      <c r="D7" s="20"/>
      <c r="E7" s="20"/>
      <c r="F7" s="20"/>
      <c r="G7" s="20"/>
      <c r="H7" s="20"/>
      <c r="I7" s="20"/>
    </row>
    <row r="8" spans="2:12" x14ac:dyDescent="0.3">
      <c r="B8" s="3">
        <v>4</v>
      </c>
      <c r="C8" s="20" t="s">
        <v>80</v>
      </c>
      <c r="D8" s="20"/>
      <c r="E8" s="20"/>
      <c r="F8" s="20"/>
      <c r="G8" s="20"/>
      <c r="H8" s="20"/>
      <c r="I8" s="20"/>
    </row>
    <row r="9" spans="2:12" x14ac:dyDescent="0.3">
      <c r="B9" s="3">
        <v>5</v>
      </c>
      <c r="C9" s="20" t="s">
        <v>5</v>
      </c>
      <c r="D9" s="20"/>
      <c r="E9" s="20"/>
      <c r="F9" s="20"/>
      <c r="G9" s="20"/>
      <c r="H9" s="20"/>
      <c r="I9" s="20"/>
    </row>
    <row r="12" spans="2:12" ht="18.75" customHeight="1" x14ac:dyDescent="0.35">
      <c r="B12" s="2" t="s">
        <v>6</v>
      </c>
    </row>
    <row r="14" spans="2:12" x14ac:dyDescent="0.3">
      <c r="B14" s="21" t="s">
        <v>7</v>
      </c>
      <c r="C14" s="21"/>
      <c r="D14" s="21"/>
      <c r="E14" s="21" t="s">
        <v>8</v>
      </c>
      <c r="F14" s="21"/>
      <c r="G14" s="21"/>
      <c r="H14" s="21"/>
      <c r="I14" s="21"/>
      <c r="J14" s="21"/>
      <c r="K14" s="21"/>
      <c r="L14" s="21"/>
    </row>
    <row r="15" spans="2:12" x14ac:dyDescent="0.3">
      <c r="B15" s="22" t="s">
        <v>9</v>
      </c>
      <c r="C15" s="22"/>
      <c r="D15" s="22"/>
      <c r="E15" s="22" t="s">
        <v>10</v>
      </c>
      <c r="F15" s="22"/>
      <c r="G15" s="22"/>
      <c r="H15" s="22"/>
      <c r="I15" s="22"/>
      <c r="J15" s="22"/>
      <c r="K15" s="22"/>
      <c r="L15" s="22"/>
    </row>
    <row r="16" spans="2:12" x14ac:dyDescent="0.3">
      <c r="B16" s="22" t="s">
        <v>11</v>
      </c>
      <c r="C16" s="22"/>
      <c r="D16" s="22"/>
      <c r="E16" s="22" t="s">
        <v>12</v>
      </c>
      <c r="F16" s="22"/>
      <c r="G16" s="22"/>
      <c r="H16" s="22"/>
      <c r="I16" s="22"/>
      <c r="J16" s="22"/>
      <c r="K16" s="22"/>
      <c r="L16" s="22"/>
    </row>
    <row r="17" spans="2:12" x14ac:dyDescent="0.3">
      <c r="B17" s="22" t="s">
        <v>13</v>
      </c>
      <c r="C17" s="22"/>
      <c r="D17" s="22"/>
      <c r="E17" s="22" t="s">
        <v>14</v>
      </c>
      <c r="F17" s="22"/>
      <c r="G17" s="22"/>
      <c r="H17" s="22"/>
      <c r="I17" s="22"/>
      <c r="J17" s="22"/>
      <c r="K17" s="22"/>
      <c r="L17" s="22"/>
    </row>
    <row r="18" spans="2:12" x14ac:dyDescent="0.3">
      <c r="B18" s="22" t="s">
        <v>15</v>
      </c>
      <c r="C18" s="22"/>
      <c r="D18" s="22"/>
      <c r="E18" s="22" t="s">
        <v>16</v>
      </c>
      <c r="F18" s="22"/>
      <c r="G18" s="22"/>
      <c r="H18" s="22"/>
      <c r="I18" s="22"/>
      <c r="J18" s="22"/>
      <c r="K18" s="22"/>
      <c r="L18" s="22"/>
    </row>
    <row r="19" spans="2:12" x14ac:dyDescent="0.3">
      <c r="B19" s="22" t="s">
        <v>17</v>
      </c>
      <c r="C19" s="22"/>
      <c r="D19" s="22"/>
      <c r="E19" s="22" t="s">
        <v>18</v>
      </c>
      <c r="F19" s="22"/>
      <c r="G19" s="22"/>
      <c r="H19" s="22"/>
      <c r="I19" s="22"/>
      <c r="J19" s="22"/>
      <c r="K19" s="22"/>
      <c r="L19" s="22"/>
    </row>
    <row r="20" spans="2:12" x14ac:dyDescent="0.3">
      <c r="B20" s="22" t="s">
        <v>19</v>
      </c>
      <c r="C20" s="22"/>
      <c r="D20" s="22"/>
      <c r="E20" s="22" t="s">
        <v>20</v>
      </c>
      <c r="F20" s="22"/>
      <c r="G20" s="22"/>
      <c r="H20" s="22"/>
      <c r="I20" s="22"/>
      <c r="J20" s="22"/>
      <c r="K20" s="22"/>
      <c r="L20" s="22"/>
    </row>
    <row r="23" spans="2:12" ht="18.75" customHeight="1" x14ac:dyDescent="0.35">
      <c r="B23" s="2" t="s">
        <v>21</v>
      </c>
    </row>
    <row r="25" spans="2:12" x14ac:dyDescent="0.3">
      <c r="B25" s="21" t="s">
        <v>22</v>
      </c>
      <c r="C25" s="21"/>
      <c r="D25" s="21"/>
      <c r="E25" s="21" t="s">
        <v>8</v>
      </c>
      <c r="F25" s="21"/>
      <c r="G25" s="21"/>
      <c r="H25" s="21"/>
      <c r="I25" s="21"/>
      <c r="J25" s="21"/>
    </row>
    <row r="26" spans="2:12" x14ac:dyDescent="0.3">
      <c r="B26" s="22" t="s">
        <v>23</v>
      </c>
      <c r="C26" s="22"/>
      <c r="D26" s="22"/>
      <c r="E26" s="22" t="s">
        <v>24</v>
      </c>
      <c r="F26" s="22"/>
      <c r="G26" s="22"/>
      <c r="H26" s="22"/>
      <c r="I26" s="22"/>
      <c r="J26" s="22"/>
    </row>
    <row r="27" spans="2:12" x14ac:dyDescent="0.3">
      <c r="B27" s="22" t="s">
        <v>25</v>
      </c>
      <c r="C27" s="22"/>
      <c r="D27" s="22"/>
      <c r="E27" s="22" t="s">
        <v>26</v>
      </c>
      <c r="F27" s="22"/>
      <c r="G27" s="22"/>
      <c r="H27" s="22"/>
      <c r="I27" s="22"/>
      <c r="J27" s="22"/>
    </row>
    <row r="28" spans="2:12" x14ac:dyDescent="0.3">
      <c r="B28" s="22" t="s">
        <v>27</v>
      </c>
      <c r="C28" s="22"/>
      <c r="D28" s="22"/>
      <c r="E28" s="22" t="s">
        <v>28</v>
      </c>
      <c r="F28" s="22"/>
      <c r="G28" s="22"/>
      <c r="H28" s="22"/>
      <c r="I28" s="22"/>
      <c r="J28" s="22"/>
    </row>
    <row r="29" spans="2:12" x14ac:dyDescent="0.3">
      <c r="B29" s="22" t="s">
        <v>29</v>
      </c>
      <c r="C29" s="22"/>
      <c r="D29" s="22"/>
      <c r="E29" s="22" t="s">
        <v>30</v>
      </c>
      <c r="F29" s="22"/>
      <c r="G29" s="22"/>
      <c r="H29" s="22"/>
      <c r="I29" s="22"/>
      <c r="J29" s="22"/>
    </row>
  </sheetData>
  <mergeCells count="30">
    <mergeCell ref="B29:D29"/>
    <mergeCell ref="E29:J29"/>
    <mergeCell ref="B26:D26"/>
    <mergeCell ref="E26:J26"/>
    <mergeCell ref="B27:D27"/>
    <mergeCell ref="E27:J27"/>
    <mergeCell ref="B28:D28"/>
    <mergeCell ref="E28:J28"/>
    <mergeCell ref="B19:D19"/>
    <mergeCell ref="E19:L19"/>
    <mergeCell ref="B20:D20"/>
    <mergeCell ref="E20:L20"/>
    <mergeCell ref="B25:D25"/>
    <mergeCell ref="E25:J25"/>
    <mergeCell ref="B16:D16"/>
    <mergeCell ref="E16:L16"/>
    <mergeCell ref="B17:D17"/>
    <mergeCell ref="E17:L17"/>
    <mergeCell ref="B18:D18"/>
    <mergeCell ref="E18:L18"/>
    <mergeCell ref="C9:I9"/>
    <mergeCell ref="B14:D14"/>
    <mergeCell ref="E14:L14"/>
    <mergeCell ref="B15:D15"/>
    <mergeCell ref="E15:L15"/>
    <mergeCell ref="C4:I4"/>
    <mergeCell ref="C5:I5"/>
    <mergeCell ref="C6:I6"/>
    <mergeCell ref="C7:I7"/>
    <mergeCell ref="C8:I8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34"/>
  <sheetViews>
    <sheetView showGridLines="0" zoomScaleNormal="100" workbookViewId="0">
      <selection activeCell="F18" sqref="F18"/>
    </sheetView>
  </sheetViews>
  <sheetFormatPr defaultColWidth="8.6640625" defaultRowHeight="14.4" x14ac:dyDescent="0.3"/>
  <cols>
    <col min="1" max="1" width="2" customWidth="1"/>
    <col min="2" max="2" width="24" customWidth="1"/>
    <col min="3" max="4" width="11" customWidth="1"/>
    <col min="5" max="5" width="13" customWidth="1"/>
    <col min="6" max="6" width="12" customWidth="1"/>
    <col min="7" max="7" width="13" customWidth="1"/>
    <col min="8" max="8" width="12" customWidth="1"/>
    <col min="9" max="11" width="11" customWidth="1"/>
    <col min="12" max="12" width="10" customWidth="1"/>
    <col min="13" max="13" width="11.77734375" bestFit="1" customWidth="1"/>
    <col min="14" max="14" width="10" customWidth="1"/>
    <col min="15" max="15" width="9" customWidth="1"/>
    <col min="16" max="16" width="2" customWidth="1"/>
  </cols>
  <sheetData>
    <row r="2" spans="2:15" ht="24.75" customHeight="1" x14ac:dyDescent="0.3">
      <c r="B2" s="23" t="s">
        <v>31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2:15" x14ac:dyDescent="0.3">
      <c r="B3" s="24" t="s">
        <v>32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5" spans="2:15" x14ac:dyDescent="0.3">
      <c r="B5" s="25" t="s">
        <v>33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2:15" x14ac:dyDescent="0.3">
      <c r="B6" s="26" t="s">
        <v>34</v>
      </c>
      <c r="C6" s="26"/>
      <c r="D6" s="26"/>
      <c r="E6" s="26"/>
      <c r="F6" s="26"/>
      <c r="G6" s="26"/>
      <c r="H6" s="26" t="s">
        <v>35</v>
      </c>
      <c r="I6" s="26"/>
      <c r="J6" s="26"/>
      <c r="K6" s="26"/>
      <c r="L6" s="27" t="s">
        <v>36</v>
      </c>
      <c r="M6" s="27"/>
      <c r="N6" s="27"/>
      <c r="O6" s="27"/>
    </row>
    <row r="7" spans="2:15" ht="27.75" customHeight="1" x14ac:dyDescent="0.3">
      <c r="B7" s="4" t="s">
        <v>37</v>
      </c>
      <c r="C7" s="4" t="s">
        <v>38</v>
      </c>
      <c r="D7" s="4" t="s">
        <v>39</v>
      </c>
      <c r="E7" s="4" t="s">
        <v>40</v>
      </c>
      <c r="F7" s="4" t="s">
        <v>13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49</v>
      </c>
    </row>
    <row r="8" spans="2:15" s="13" customFormat="1" x14ac:dyDescent="0.3">
      <c r="B8" s="11" t="s">
        <v>50</v>
      </c>
      <c r="C8" s="11" t="s">
        <v>51</v>
      </c>
      <c r="D8" s="11" t="s">
        <v>52</v>
      </c>
      <c r="E8" s="12">
        <v>26000000</v>
      </c>
      <c r="F8" s="12">
        <v>900000</v>
      </c>
      <c r="G8" s="15">
        <f t="shared" ref="G8:G13" si="0">IF(E8="","",E8+F8)</f>
        <v>26900000</v>
      </c>
      <c r="H8" s="12">
        <v>1500000</v>
      </c>
      <c r="I8" s="12">
        <v>160000</v>
      </c>
      <c r="J8" s="12">
        <v>90000</v>
      </c>
      <c r="K8" s="12">
        <v>70000</v>
      </c>
      <c r="L8" s="17">
        <f t="shared" ref="L8:L13" si="1">IF(H8=0,"",G8/H8)</f>
        <v>17.933333333333334</v>
      </c>
      <c r="M8" s="17">
        <f t="shared" ref="M8:M13" si="2">IF(I8=0,"",G8/I8)</f>
        <v>168.125</v>
      </c>
      <c r="N8" s="17">
        <f t="shared" ref="N8:N13" si="3">IF(J8=0,"",G8/J8)</f>
        <v>298.88888888888891</v>
      </c>
      <c r="O8" s="17">
        <f t="shared" ref="O8:O13" si="4">IF(K8=0,"",E8/K8)</f>
        <v>371.42857142857144</v>
      </c>
    </row>
    <row r="9" spans="2:15" s="13" customFormat="1" x14ac:dyDescent="0.3">
      <c r="B9" s="11" t="s">
        <v>53</v>
      </c>
      <c r="C9" s="11" t="s">
        <v>54</v>
      </c>
      <c r="D9" s="11" t="s">
        <v>55</v>
      </c>
      <c r="E9" s="12">
        <v>19500000</v>
      </c>
      <c r="F9" s="12">
        <v>0</v>
      </c>
      <c r="G9" s="15">
        <f t="shared" si="0"/>
        <v>19500000</v>
      </c>
      <c r="H9" s="12">
        <v>40000</v>
      </c>
      <c r="I9" s="12">
        <v>15000</v>
      </c>
      <c r="J9" s="12">
        <v>12000</v>
      </c>
      <c r="K9" s="12"/>
      <c r="L9" s="17">
        <f t="shared" si="1"/>
        <v>487.5</v>
      </c>
      <c r="M9" s="17">
        <f t="shared" si="2"/>
        <v>1300</v>
      </c>
      <c r="N9" s="17">
        <f t="shared" si="3"/>
        <v>1625</v>
      </c>
      <c r="O9" s="17" t="str">
        <f t="shared" si="4"/>
        <v/>
      </c>
    </row>
    <row r="10" spans="2:15" s="13" customFormat="1" x14ac:dyDescent="0.3">
      <c r="B10" s="11" t="s">
        <v>56</v>
      </c>
      <c r="C10" s="11" t="s">
        <v>57</v>
      </c>
      <c r="D10" s="11" t="s">
        <v>58</v>
      </c>
      <c r="E10" s="12">
        <v>16000000</v>
      </c>
      <c r="F10" s="12">
        <v>1200000</v>
      </c>
      <c r="G10" s="15">
        <f t="shared" si="0"/>
        <v>17200000</v>
      </c>
      <c r="H10" s="12">
        <v>330000</v>
      </c>
      <c r="I10" s="12">
        <v>250000</v>
      </c>
      <c r="J10" s="12">
        <v>180000</v>
      </c>
      <c r="K10" s="12"/>
      <c r="L10" s="17">
        <f t="shared" si="1"/>
        <v>52.121212121212125</v>
      </c>
      <c r="M10" s="17">
        <f t="shared" si="2"/>
        <v>68.8</v>
      </c>
      <c r="N10" s="17">
        <f t="shared" si="3"/>
        <v>95.555555555555557</v>
      </c>
      <c r="O10" s="17" t="str">
        <f t="shared" si="4"/>
        <v/>
      </c>
    </row>
    <row r="11" spans="2:15" s="13" customFormat="1" x14ac:dyDescent="0.3">
      <c r="B11" s="11" t="s">
        <v>59</v>
      </c>
      <c r="C11" s="11" t="s">
        <v>60</v>
      </c>
      <c r="D11" s="11" t="s">
        <v>61</v>
      </c>
      <c r="E11" s="12">
        <v>12000000</v>
      </c>
      <c r="F11" s="12">
        <v>0</v>
      </c>
      <c r="G11" s="15">
        <f t="shared" si="0"/>
        <v>12000000</v>
      </c>
      <c r="H11" s="12">
        <v>150000</v>
      </c>
      <c r="I11" s="12">
        <v>110000</v>
      </c>
      <c r="J11" s="12">
        <v>90000</v>
      </c>
      <c r="K11" s="12"/>
      <c r="L11" s="17">
        <f t="shared" si="1"/>
        <v>80</v>
      </c>
      <c r="M11" s="17">
        <f t="shared" si="2"/>
        <v>109.09090909090909</v>
      </c>
      <c r="N11" s="17">
        <f t="shared" si="3"/>
        <v>133.33333333333334</v>
      </c>
      <c r="O11" s="17" t="str">
        <f t="shared" si="4"/>
        <v/>
      </c>
    </row>
    <row r="12" spans="2:15" x14ac:dyDescent="0.3">
      <c r="B12" s="5"/>
      <c r="C12" s="5"/>
      <c r="D12" s="5"/>
      <c r="E12" s="6"/>
      <c r="F12" s="6"/>
      <c r="G12" s="16" t="str">
        <f t="shared" si="0"/>
        <v/>
      </c>
      <c r="H12" s="6"/>
      <c r="I12" s="6"/>
      <c r="J12" s="6"/>
      <c r="K12" s="6"/>
      <c r="L12" s="18" t="str">
        <f t="shared" si="1"/>
        <v/>
      </c>
      <c r="M12" s="18" t="str">
        <f t="shared" si="2"/>
        <v/>
      </c>
      <c r="N12" s="18" t="str">
        <f t="shared" si="3"/>
        <v/>
      </c>
      <c r="O12" s="18" t="str">
        <f t="shared" si="4"/>
        <v/>
      </c>
    </row>
    <row r="13" spans="2:15" x14ac:dyDescent="0.3">
      <c r="B13" s="5"/>
      <c r="C13" s="5"/>
      <c r="D13" s="5"/>
      <c r="E13" s="6"/>
      <c r="F13" s="6"/>
      <c r="G13" s="16" t="str">
        <f t="shared" si="0"/>
        <v/>
      </c>
      <c r="H13" s="6"/>
      <c r="I13" s="6"/>
      <c r="J13" s="6"/>
      <c r="K13" s="6"/>
      <c r="L13" s="18" t="str">
        <f t="shared" si="1"/>
        <v/>
      </c>
      <c r="M13" s="18" t="str">
        <f t="shared" si="2"/>
        <v/>
      </c>
      <c r="N13" s="18" t="str">
        <f t="shared" si="3"/>
        <v/>
      </c>
      <c r="O13" s="18" t="str">
        <f t="shared" si="4"/>
        <v/>
      </c>
    </row>
    <row r="15" spans="2:15" x14ac:dyDescent="0.3">
      <c r="B15" s="25" t="s">
        <v>62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2:15" x14ac:dyDescent="0.3">
      <c r="B16" s="7" t="s">
        <v>63</v>
      </c>
      <c r="L16" s="8" t="s">
        <v>46</v>
      </c>
      <c r="M16" s="8" t="s">
        <v>47</v>
      </c>
      <c r="N16" s="8" t="s">
        <v>48</v>
      </c>
      <c r="O16" s="8" t="s">
        <v>49</v>
      </c>
    </row>
    <row r="17" spans="2:15" x14ac:dyDescent="0.3">
      <c r="B17" s="9" t="s">
        <v>64</v>
      </c>
      <c r="L17" s="18">
        <f>IFERROR(AVERAGE(L8:L13),"")</f>
        <v>159.38863636363635</v>
      </c>
      <c r="M17" s="18">
        <f>IFERROR(AVERAGE(M8:M13),"")</f>
        <v>411.50397727272724</v>
      </c>
      <c r="N17" s="18">
        <f>IFERROR(AVERAGE(N8:N13),"")</f>
        <v>538.19444444444446</v>
      </c>
      <c r="O17" s="18">
        <f>IFERROR(AVERAGE(O8:O13),"")</f>
        <v>371.42857142857144</v>
      </c>
    </row>
    <row r="18" spans="2:15" x14ac:dyDescent="0.3">
      <c r="B18" s="9" t="s">
        <v>65</v>
      </c>
      <c r="L18" s="18">
        <f>IFERROR(MEDIAN(L8:L13),"")</f>
        <v>66.060606060606062</v>
      </c>
      <c r="M18" s="18">
        <f>IFERROR(MEDIAN(M8:M13),"")</f>
        <v>138.60795454545456</v>
      </c>
      <c r="N18" s="18">
        <f>IFERROR(MEDIAN(N8:N13),"")</f>
        <v>216.11111111111114</v>
      </c>
      <c r="O18" s="18">
        <f>IFERROR(MEDIAN(O8:O13),"")</f>
        <v>371.42857142857144</v>
      </c>
    </row>
    <row r="19" spans="2:15" x14ac:dyDescent="0.3">
      <c r="B19" s="9" t="s">
        <v>66</v>
      </c>
      <c r="L19" s="18">
        <f>IFERROR(PERCENTILE(L8:L13,0.25),"")</f>
        <v>43.574242424242428</v>
      </c>
      <c r="M19" s="18">
        <f>IFERROR(PERCENTILE(M8:M13,0.25),"")</f>
        <v>99.018181818181816</v>
      </c>
      <c r="N19" s="18">
        <f>IFERROR(PERCENTILE(N8:N13,0.25),"")</f>
        <v>123.8888888888889</v>
      </c>
      <c r="O19" s="18">
        <f>IFERROR(PERCENTILE(O8:O13,0.25),"")</f>
        <v>371.42857142857144</v>
      </c>
    </row>
    <row r="20" spans="2:15" x14ac:dyDescent="0.3">
      <c r="B20" s="9" t="s">
        <v>67</v>
      </c>
      <c r="L20" s="18">
        <f>IFERROR(PERCENTILE(L8:L13,0.75),"")</f>
        <v>181.875</v>
      </c>
      <c r="M20" s="18">
        <f>IFERROR(PERCENTILE(M8:M13,0.75),"")</f>
        <v>451.09375</v>
      </c>
      <c r="N20" s="18">
        <f>IFERROR(PERCENTILE(N8:N13,0.75),"")</f>
        <v>630.41666666666674</v>
      </c>
      <c r="O20" s="18">
        <f>IFERROR(PERCENTILE(O8:O13,0.75),"")</f>
        <v>371.42857142857144</v>
      </c>
    </row>
    <row r="22" spans="2:15" x14ac:dyDescent="0.3">
      <c r="B22" s="25" t="s">
        <v>68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5" x14ac:dyDescent="0.3">
      <c r="B23" s="7" t="s">
        <v>7</v>
      </c>
      <c r="C23" s="8" t="s">
        <v>42</v>
      </c>
      <c r="D23" s="8" t="s">
        <v>43</v>
      </c>
      <c r="E23" s="8" t="s">
        <v>44</v>
      </c>
      <c r="F23" s="8" t="s">
        <v>45</v>
      </c>
      <c r="G23" s="8" t="s">
        <v>13</v>
      </c>
    </row>
    <row r="24" spans="2:15" s="13" customFormat="1" x14ac:dyDescent="0.3">
      <c r="B24" s="14" t="s">
        <v>69</v>
      </c>
      <c r="C24" s="12">
        <v>5000000</v>
      </c>
      <c r="D24" s="12">
        <v>2000000</v>
      </c>
      <c r="E24" s="12">
        <v>1200000</v>
      </c>
      <c r="F24" s="12">
        <v>900000</v>
      </c>
      <c r="G24" s="12">
        <v>2000000</v>
      </c>
    </row>
    <row r="26" spans="2:15" x14ac:dyDescent="0.3">
      <c r="B26" s="25" t="s">
        <v>70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2:15" ht="25.5" customHeight="1" x14ac:dyDescent="0.3">
      <c r="B27" s="10" t="s">
        <v>71</v>
      </c>
      <c r="C27" s="10" t="s">
        <v>65</v>
      </c>
      <c r="D27" s="28" t="s">
        <v>72</v>
      </c>
      <c r="E27" s="28"/>
      <c r="F27" s="28" t="s">
        <v>73</v>
      </c>
      <c r="G27" s="28"/>
      <c r="H27" s="28"/>
      <c r="I27" s="28" t="s">
        <v>74</v>
      </c>
      <c r="J27" s="28"/>
      <c r="K27" s="28" t="s">
        <v>75</v>
      </c>
      <c r="L27" s="28"/>
      <c r="M27" s="28"/>
    </row>
    <row r="28" spans="2:15" x14ac:dyDescent="0.3">
      <c r="B28" s="9" t="s">
        <v>46</v>
      </c>
      <c r="C28" s="18">
        <f>L18</f>
        <v>66.060606060606062</v>
      </c>
      <c r="D28" s="29">
        <f>C24</f>
        <v>5000000</v>
      </c>
      <c r="E28" s="29"/>
      <c r="F28" s="29">
        <f>IFERROR(C28*D28,"")</f>
        <v>330303030.30303031</v>
      </c>
      <c r="G28" s="29"/>
      <c r="H28" s="29"/>
      <c r="I28" s="29">
        <f>$G$24</f>
        <v>2000000</v>
      </c>
      <c r="J28" s="29"/>
      <c r="K28" s="29">
        <f>IFERROR(F28-I28,"")</f>
        <v>328303030.30303031</v>
      </c>
      <c r="L28" s="29"/>
      <c r="M28" s="29"/>
    </row>
    <row r="29" spans="2:15" x14ac:dyDescent="0.3">
      <c r="B29" s="9" t="s">
        <v>47</v>
      </c>
      <c r="C29" s="18">
        <f>M18</f>
        <v>138.60795454545456</v>
      </c>
      <c r="D29" s="29">
        <f>D24</f>
        <v>2000000</v>
      </c>
      <c r="E29" s="29"/>
      <c r="F29" s="29">
        <f>IFERROR(C29*D29,"")</f>
        <v>277215909.09090912</v>
      </c>
      <c r="G29" s="29"/>
      <c r="H29" s="29"/>
      <c r="I29" s="29">
        <f>$G$24</f>
        <v>2000000</v>
      </c>
      <c r="J29" s="29"/>
      <c r="K29" s="29">
        <f>IFERROR(F29-I29,"")</f>
        <v>275215909.09090912</v>
      </c>
      <c r="L29" s="29"/>
      <c r="M29" s="29"/>
    </row>
    <row r="30" spans="2:15" x14ac:dyDescent="0.3">
      <c r="B30" s="9" t="s">
        <v>48</v>
      </c>
      <c r="C30" s="18">
        <f>N18</f>
        <v>216.11111111111114</v>
      </c>
      <c r="D30" s="29">
        <f>E24</f>
        <v>1200000</v>
      </c>
      <c r="E30" s="29"/>
      <c r="F30" s="29">
        <f>IFERROR(C30*D30,"")</f>
        <v>259333333.33333337</v>
      </c>
      <c r="G30" s="29"/>
      <c r="H30" s="29"/>
      <c r="I30" s="29">
        <f>$G$24</f>
        <v>2000000</v>
      </c>
      <c r="J30" s="29"/>
      <c r="K30" s="29">
        <f>IFERROR(F30-I30,"")</f>
        <v>257333333.33333337</v>
      </c>
      <c r="L30" s="29"/>
      <c r="M30" s="29"/>
    </row>
    <row r="31" spans="2:15" x14ac:dyDescent="0.3">
      <c r="B31" s="9" t="s">
        <v>49</v>
      </c>
      <c r="C31" s="18">
        <f>O18</f>
        <v>371.42857142857144</v>
      </c>
      <c r="D31" s="29">
        <f>F24</f>
        <v>900000</v>
      </c>
      <c r="E31" s="29"/>
      <c r="F31" s="29" t="s">
        <v>76</v>
      </c>
      <c r="G31" s="29"/>
      <c r="H31" s="29"/>
      <c r="I31" s="29" t="s">
        <v>76</v>
      </c>
      <c r="J31" s="29"/>
      <c r="K31" s="29">
        <f>IFERROR(C31*D31,"")</f>
        <v>334285714.28571433</v>
      </c>
      <c r="L31" s="29"/>
      <c r="M31" s="29"/>
    </row>
    <row r="32" spans="2:15" ht="25.5" customHeight="1" x14ac:dyDescent="0.3">
      <c r="B32" s="25" t="s">
        <v>77</v>
      </c>
      <c r="C32" s="25"/>
      <c r="D32" s="25"/>
      <c r="E32" s="25"/>
      <c r="F32" s="25"/>
      <c r="G32" s="25"/>
      <c r="H32" s="25"/>
      <c r="I32" s="25"/>
      <c r="J32" s="25"/>
      <c r="K32" s="27" t="str">
        <f t="array" ref="K32">TEXT(MIN(IF(K28:K31&gt;0,K28:K31)),"#,##0")&amp;"  -  "&amp;TEXT(MAX(K28:K31),"#,##0")</f>
        <v>25,73,33,333  -  33,42,85,714</v>
      </c>
      <c r="L32" s="27"/>
      <c r="M32" s="27"/>
    </row>
    <row r="34" spans="2:15" ht="39.75" customHeight="1" x14ac:dyDescent="0.3">
      <c r="B34" s="30" t="s">
        <v>78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</sheetData>
  <mergeCells count="32">
    <mergeCell ref="B32:J32"/>
    <mergeCell ref="K32:M32"/>
    <mergeCell ref="B34:O34"/>
    <mergeCell ref="D30:E30"/>
    <mergeCell ref="F30:H30"/>
    <mergeCell ref="I30:J30"/>
    <mergeCell ref="K30:M30"/>
    <mergeCell ref="D31:E31"/>
    <mergeCell ref="F31:H31"/>
    <mergeCell ref="I31:J31"/>
    <mergeCell ref="K31:M31"/>
    <mergeCell ref="D28:E28"/>
    <mergeCell ref="F28:H28"/>
    <mergeCell ref="I28:J28"/>
    <mergeCell ref="K28:M28"/>
    <mergeCell ref="D29:E29"/>
    <mergeCell ref="F29:H29"/>
    <mergeCell ref="I29:J29"/>
    <mergeCell ref="K29:M29"/>
    <mergeCell ref="B15:O15"/>
    <mergeCell ref="B22:O22"/>
    <mergeCell ref="B26:O26"/>
    <mergeCell ref="D27:E27"/>
    <mergeCell ref="F27:H27"/>
    <mergeCell ref="I27:J27"/>
    <mergeCell ref="K27:M27"/>
    <mergeCell ref="B2:O2"/>
    <mergeCell ref="B3:O3"/>
    <mergeCell ref="B5:O5"/>
    <mergeCell ref="B6:G6"/>
    <mergeCell ref="H6:K6"/>
    <mergeCell ref="L6:O6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- PTA</vt:lpstr>
      <vt:lpstr>Precedent Transaction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0</cp:revision>
  <dcterms:created xsi:type="dcterms:W3CDTF">2026-05-31T19:26:48Z</dcterms:created>
  <dcterms:modified xsi:type="dcterms:W3CDTF">2026-06-23T18:25:37Z</dcterms:modified>
  <dc:language>en-US</dc:language>
</cp:coreProperties>
</file>