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ifa\OneDrive\Documents\My Docs\GHC Growth Lab\Research &amp; Additional Docs\Community Engagement\Templates\Startup Valuation Templates\With GHC Watermark\"/>
    </mc:Choice>
  </mc:AlternateContent>
  <xr:revisionPtr revIDLastSave="0" documentId="13_ncr:1_{01E69DED-F2B2-4720-B63A-C3CBF97627DC}" xr6:coauthVersionLast="47" xr6:coauthVersionMax="47" xr10:uidLastSave="{00000000-0000-0000-0000-000000000000}"/>
  <bookViews>
    <workbookView xWindow="-108" yWindow="-108" windowWidth="23256" windowHeight="13896" tabRatio="656" xr2:uid="{00000000-000D-0000-FFFF-FFFF00000000}"/>
  </bookViews>
  <sheets>
    <sheet name="Instructions" sheetId="6" r:id="rId1"/>
    <sheet name="Cover" sheetId="1" r:id="rId2"/>
    <sheet name="Assumptions" sheetId="2" r:id="rId3"/>
    <sheet name="Income Statement" sheetId="3" r:id="rId4"/>
    <sheet name="FCF Build" sheetId="4" r:id="rId5"/>
    <sheet name="DCF Valuation" sheetId="5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" i="5" l="1"/>
  <c r="H6" i="5" s="1"/>
  <c r="I6" i="5" s="1"/>
  <c r="J6" i="5" s="1"/>
  <c r="D5" i="3" l="1"/>
  <c r="E5" i="3" s="1"/>
  <c r="G5" i="3" s="1"/>
  <c r="H5" i="3" s="1"/>
  <c r="I5" i="3" s="1"/>
  <c r="J5" i="3" s="1"/>
  <c r="C35" i="2"/>
  <c r="C36" i="2" s="1"/>
  <c r="D14" i="3"/>
  <c r="D9" i="4" s="1"/>
  <c r="E14" i="3"/>
  <c r="E9" i="4" s="1"/>
  <c r="C14" i="3"/>
  <c r="C9" i="4" s="1"/>
  <c r="F6" i="3"/>
  <c r="G6" i="3" s="1"/>
  <c r="G14" i="3" s="1"/>
  <c r="G9" i="4" s="1"/>
  <c r="F8" i="3"/>
  <c r="G8" i="3"/>
  <c r="C9" i="3"/>
  <c r="C12" i="3" s="1"/>
  <c r="C13" i="3" s="1"/>
  <c r="D9" i="3"/>
  <c r="D12" i="3" s="1"/>
  <c r="D13" i="3" s="1"/>
  <c r="E9" i="3"/>
  <c r="E12" i="3" s="1"/>
  <c r="E13" i="3" s="1"/>
  <c r="F11" i="3"/>
  <c r="G11" i="3"/>
  <c r="F16" i="5"/>
  <c r="F14" i="3" l="1"/>
  <c r="F9" i="4" s="1"/>
  <c r="G7" i="5"/>
  <c r="G8" i="5" s="1"/>
  <c r="E15" i="3"/>
  <c r="E10" i="3"/>
  <c r="D15" i="3"/>
  <c r="D10" i="3"/>
  <c r="H11" i="3"/>
  <c r="H8" i="3"/>
  <c r="F7" i="3"/>
  <c r="D17" i="3"/>
  <c r="H6" i="3"/>
  <c r="H14" i="3" s="1"/>
  <c r="H9" i="4" s="1"/>
  <c r="I11" i="3"/>
  <c r="G9" i="3"/>
  <c r="G12" i="3" s="1"/>
  <c r="I8" i="3"/>
  <c r="G7" i="3"/>
  <c r="C15" i="3"/>
  <c r="C6" i="4" s="1"/>
  <c r="C7" i="4" s="1"/>
  <c r="C10" i="3"/>
  <c r="F9" i="3"/>
  <c r="G10" i="4"/>
  <c r="F11" i="4"/>
  <c r="F10" i="4"/>
  <c r="G11" i="4"/>
  <c r="D6" i="4" l="1"/>
  <c r="E17" i="3"/>
  <c r="E18" i="3" s="1"/>
  <c r="E19" i="3" s="1"/>
  <c r="E20" i="3" s="1"/>
  <c r="E6" i="4"/>
  <c r="C8" i="4"/>
  <c r="C12" i="4" s="1"/>
  <c r="G15" i="3"/>
  <c r="G13" i="3"/>
  <c r="H7" i="5"/>
  <c r="H8" i="5" s="1"/>
  <c r="D18" i="3"/>
  <c r="D19" i="3" s="1"/>
  <c r="D20" i="3" s="1"/>
  <c r="F7" i="5"/>
  <c r="F8" i="5" s="1"/>
  <c r="I7" i="5"/>
  <c r="I8" i="5" s="1"/>
  <c r="J7" i="5"/>
  <c r="J8" i="5" s="1"/>
  <c r="H10" i="4"/>
  <c r="H11" i="4"/>
  <c r="C17" i="3"/>
  <c r="F12" i="3"/>
  <c r="F13" i="3" s="1"/>
  <c r="F10" i="3"/>
  <c r="J11" i="3"/>
  <c r="H9" i="3"/>
  <c r="H12" i="3" s="1"/>
  <c r="H7" i="3"/>
  <c r="J8" i="3"/>
  <c r="I6" i="3"/>
  <c r="G10" i="3"/>
  <c r="E7" i="4" l="1"/>
  <c r="E8" i="4" s="1"/>
  <c r="E12" i="4" s="1"/>
  <c r="D7" i="4"/>
  <c r="D8" i="4" s="1"/>
  <c r="D12" i="4" s="1"/>
  <c r="G17" i="3"/>
  <c r="G18" i="3" s="1"/>
  <c r="G6" i="4"/>
  <c r="G7" i="4" s="1"/>
  <c r="G8" i="4" s="1"/>
  <c r="H15" i="3"/>
  <c r="H13" i="3"/>
  <c r="H10" i="3"/>
  <c r="I10" i="4"/>
  <c r="I14" i="3"/>
  <c r="I9" i="4" s="1"/>
  <c r="C18" i="3"/>
  <c r="C19" i="3" s="1"/>
  <c r="C20" i="3" s="1"/>
  <c r="I7" i="3"/>
  <c r="J6" i="3"/>
  <c r="J14" i="3" s="1"/>
  <c r="J9" i="4" s="1"/>
  <c r="I9" i="3"/>
  <c r="I12" i="3" s="1"/>
  <c r="I11" i="4"/>
  <c r="F15" i="3"/>
  <c r="F6" i="4" s="1"/>
  <c r="F7" i="4" s="1"/>
  <c r="G19" i="3" l="1"/>
  <c r="G20" i="3" s="1"/>
  <c r="H17" i="3"/>
  <c r="H6" i="4"/>
  <c r="H7" i="4" s="1"/>
  <c r="I15" i="3"/>
  <c r="I13" i="3"/>
  <c r="F17" i="3"/>
  <c r="F18" i="3" s="1"/>
  <c r="F8" i="4"/>
  <c r="F12" i="4" s="1"/>
  <c r="F10" i="5" s="1"/>
  <c r="F11" i="5" s="1"/>
  <c r="J7" i="3"/>
  <c r="J9" i="3"/>
  <c r="J12" i="3" s="1"/>
  <c r="J10" i="4"/>
  <c r="J11" i="4"/>
  <c r="I10" i="3"/>
  <c r="G12" i="4"/>
  <c r="G10" i="5" s="1"/>
  <c r="G11" i="5" s="1"/>
  <c r="H8" i="4" l="1"/>
  <c r="H12" i="4" s="1"/>
  <c r="H10" i="5" s="1"/>
  <c r="H11" i="5" s="1"/>
  <c r="I6" i="4"/>
  <c r="I7" i="4" s="1"/>
  <c r="I8" i="4" s="1"/>
  <c r="I12" i="4" s="1"/>
  <c r="I10" i="5" s="1"/>
  <c r="I11" i="5" s="1"/>
  <c r="H18" i="3"/>
  <c r="H19" i="3" s="1"/>
  <c r="H20" i="3" s="1"/>
  <c r="J10" i="3"/>
  <c r="J15" i="3"/>
  <c r="J13" i="3"/>
  <c r="I17" i="3"/>
  <c r="F19" i="3"/>
  <c r="F20" i="3" s="1"/>
  <c r="J17" i="3" l="1"/>
  <c r="J18" i="3" s="1"/>
  <c r="J6" i="4"/>
  <c r="J7" i="4" s="1"/>
  <c r="J8" i="4" s="1"/>
  <c r="J12" i="4" s="1"/>
  <c r="J19" i="3"/>
  <c r="J20" i="3" s="1"/>
  <c r="I18" i="3"/>
  <c r="I19" i="3" s="1"/>
  <c r="I20" i="3" s="1"/>
  <c r="F15" i="5" l="1"/>
  <c r="F17" i="5" s="1"/>
  <c r="J10" i="5"/>
  <c r="J11" i="5" s="1"/>
  <c r="F12" i="5" s="1"/>
  <c r="F18" i="5" l="1"/>
  <c r="F22" i="5" s="1"/>
  <c r="F21" i="5"/>
  <c r="F23" i="5" l="1"/>
</calcChain>
</file>

<file path=xl/sharedStrings.xml><?xml version="1.0" encoding="utf-8"?>
<sst xmlns="http://schemas.openxmlformats.org/spreadsheetml/2006/main" count="134" uniqueCount="125">
  <si>
    <t>DISCOUNTED CASH FLOW (DCF) MODEL</t>
  </si>
  <si>
    <t>Comprehensive Valuation Template</t>
  </si>
  <si>
    <t>Company Name</t>
  </si>
  <si>
    <t>Analyst</t>
  </si>
  <si>
    <t>Date</t>
  </si>
  <si>
    <t>Fiscal Year End</t>
  </si>
  <si>
    <t>Currency</t>
  </si>
  <si>
    <t>Units</t>
  </si>
  <si>
    <t>MODEL STRUCTURE</t>
  </si>
  <si>
    <t>Assumptions</t>
  </si>
  <si>
    <t>Key drivers, WACC inputs, terminal value</t>
  </si>
  <si>
    <t>Income Statement</t>
  </si>
  <si>
    <t>Historical &amp; projected P&amp;L</t>
  </si>
  <si>
    <t>FCF Build</t>
  </si>
  <si>
    <t>Free cash flow derivation</t>
  </si>
  <si>
    <t>DCF Valuation</t>
  </si>
  <si>
    <t>COLOR LEGEND</t>
  </si>
  <si>
    <t>KEY ASSUMPTIONS</t>
  </si>
  <si>
    <t>PROJECTION HORIZON</t>
  </si>
  <si>
    <t>Projection Years</t>
  </si>
  <si>
    <t>Base Year (Historical)</t>
  </si>
  <si>
    <t>First Projection Year</t>
  </si>
  <si>
    <t>REVENUE ASSUMPTIONS</t>
  </si>
  <si>
    <t>Year 1 Revenue Growth</t>
  </si>
  <si>
    <t>Year 2 Revenue Growth</t>
  </si>
  <si>
    <t>Year 3 Revenue Growth</t>
  </si>
  <si>
    <t>Year 4 Revenue Growth</t>
  </si>
  <si>
    <t>Year 5 Revenue Growth</t>
  </si>
  <si>
    <t>MARGIN ASSUMPTIONS</t>
  </si>
  <si>
    <t>Gross Margin</t>
  </si>
  <si>
    <t>EBITDA Margin</t>
  </si>
  <si>
    <t>EBIT Margin</t>
  </si>
  <si>
    <t>Tax Rate</t>
  </si>
  <si>
    <t>WORKING CAPITAL ASSUMPTIONS</t>
  </si>
  <si>
    <t>CAPEX &amp; D&amp;A ASSUMPTIONS</t>
  </si>
  <si>
    <t>CapEx as % of Revenue</t>
  </si>
  <si>
    <t>D&amp;A as % of Revenue</t>
  </si>
  <si>
    <t>WACC ASSUMPTIONS</t>
  </si>
  <si>
    <t>Risk-Free Rate</t>
  </si>
  <si>
    <t>Beta</t>
  </si>
  <si>
    <t>Cost of Equity (CAPM)</t>
  </si>
  <si>
    <t>WACC</t>
  </si>
  <si>
    <t>TERMINAL VALUE ASSUMPTIONS</t>
  </si>
  <si>
    <t>Terminal Growth Rate (g)</t>
  </si>
  <si>
    <t>Terminal Year EBITDA Multiple</t>
  </si>
  <si>
    <t>Revenue</t>
  </si>
  <si>
    <t xml:space="preserve">  Revenue Growth %</t>
  </si>
  <si>
    <t>Cost of Goods Sold (COGS)</t>
  </si>
  <si>
    <t>Gross Profit</t>
  </si>
  <si>
    <t xml:space="preserve">  Gross Margin %</t>
  </si>
  <si>
    <t>EBITDA</t>
  </si>
  <si>
    <t xml:space="preserve">  EBITDA Margin %</t>
  </si>
  <si>
    <t>Depreciation &amp; Amortization (D&amp;A)</t>
  </si>
  <si>
    <t>EBIT (Operating Income)</t>
  </si>
  <si>
    <t>Interest Expense</t>
  </si>
  <si>
    <t>EBT (Pre-Tax Income)</t>
  </si>
  <si>
    <t>Income Tax Expense</t>
  </si>
  <si>
    <t>Net Income</t>
  </si>
  <si>
    <t xml:space="preserve">  Net Margin %</t>
  </si>
  <si>
    <t>EBIT</t>
  </si>
  <si>
    <t>Add: D&amp;A</t>
  </si>
  <si>
    <t>Less: Capital Expenditures (CapEx)</t>
  </si>
  <si>
    <t>A. DISCOUNT FACTORS</t>
  </si>
  <si>
    <t>Discount Factor  [1/(1+WACC)^period]</t>
  </si>
  <si>
    <t>B. PRESENT VALUE OF FREE CASH FLOWS</t>
  </si>
  <si>
    <t>PV of FCF</t>
  </si>
  <si>
    <t>Sum of PV(FCF)</t>
  </si>
  <si>
    <t>C. TERMINAL VALUE</t>
  </si>
  <si>
    <t>PV of Terminal Value</t>
  </si>
  <si>
    <t>(+) PV of Terminal Value</t>
  </si>
  <si>
    <t xml:space="preserve"> FCF</t>
  </si>
  <si>
    <t>Discount Period</t>
  </si>
  <si>
    <t>Gordon Growth TV  [FCF*(1+g)/(WACC-g)]</t>
  </si>
  <si>
    <t>Terminal Year FCF</t>
  </si>
  <si>
    <t>NPV, terminal value, Enterprice Value &amp; Equity Value</t>
  </si>
  <si>
    <t>Inventory Days</t>
  </si>
  <si>
    <t>Payable Days</t>
  </si>
  <si>
    <t>Operating Expense</t>
  </si>
  <si>
    <t xml:space="preserve">INCOME STATEMENT  </t>
  </si>
  <si>
    <t>Free Cash Flow (FCF)</t>
  </si>
  <si>
    <t xml:space="preserve">Less: Change in Net Working Capital </t>
  </si>
  <si>
    <t xml:space="preserve">Less: Taxes on EBIT </t>
  </si>
  <si>
    <t>Risk Premium</t>
  </si>
  <si>
    <t>Net Operating Profit After Tax</t>
  </si>
  <si>
    <t xml:space="preserve">DCF VALUATION  </t>
  </si>
  <si>
    <t xml:space="preserve">FREE CASH FLOW BUILD  </t>
  </si>
  <si>
    <t>Small WACC changes move valuation a lot — test a range.</t>
  </si>
  <si>
    <t>Sanity-check WACC</t>
  </si>
  <si>
    <t>Terminal growth must be less than WACC or the model breaks.</t>
  </si>
  <si>
    <t>Keep g below WACC</t>
  </si>
  <si>
    <t>Description</t>
  </si>
  <si>
    <t>Guideline</t>
  </si>
  <si>
    <t>Important Guidelines</t>
  </si>
  <si>
    <t>Subtracted from Enterprise Value to reach Equity Value.</t>
  </si>
  <si>
    <t>Net Debt</t>
  </si>
  <si>
    <t>Perpetual growth rate used in the Gordon Growth terminal value.</t>
  </si>
  <si>
    <t>Risk-free rate, risk premium, and beta feeding the discount rate.</t>
  </si>
  <si>
    <t>WACC inputs</t>
  </si>
  <si>
    <t>Receivable, inventory, and payable days driving working-capital changes.</t>
  </si>
  <si>
    <t>Working capital days</t>
  </si>
  <si>
    <t>Gross, EBITDA, and EBIT margins plus tax rate applied to revenue.</t>
  </si>
  <si>
    <t>Margin assumptions</t>
  </si>
  <si>
    <t>Annual top-line growth rates driving the projection.</t>
  </si>
  <si>
    <t>Revenue Growth (Year 1–5)</t>
  </si>
  <si>
    <t>Metric</t>
  </si>
  <si>
    <t>What Each Input Means</t>
  </si>
  <si>
    <t>Read the valuation outputs (EV and Equity Value) on the “DCF Valuation” sheet</t>
  </si>
  <si>
    <t>Check the “FCF Build” sheet where free cash flow is derived</t>
  </si>
  <si>
    <t>Review the “Income Statement” — projections flow from your assumptions</t>
  </si>
  <si>
    <t>Set projection, revenue, margin, working-capital, CapEx, WACC, and terminal assumptions on “Assumptions”</t>
  </si>
  <si>
    <t>Open the “Cover” sheet and fill in company name, analyst, and reporting details</t>
  </si>
  <si>
    <t>Details</t>
  </si>
  <si>
    <t>Steps</t>
  </si>
  <si>
    <t>Step-by-Step Instructions</t>
  </si>
  <si>
    <t>Actuals</t>
  </si>
  <si>
    <t>Projections</t>
  </si>
  <si>
    <t>Particulars</t>
  </si>
  <si>
    <r>
      <rPr>
        <sz val="11"/>
        <color theme="1"/>
        <rFont val="Calibri"/>
        <family val="2"/>
      </rPr>
      <t>→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Calibri"/>
        <family val="2"/>
        <charset val="1"/>
      </rPr>
      <t>Manual input cell</t>
    </r>
  </si>
  <si>
    <t>Light Blue cells</t>
  </si>
  <si>
    <t>These are the cells to enter manual inputs by the user</t>
  </si>
  <si>
    <t>ABC Pvt Ltd</t>
  </si>
  <si>
    <t>ABC</t>
  </si>
  <si>
    <t>INR</t>
  </si>
  <si>
    <t>Receivable Days</t>
  </si>
  <si>
    <t>DCF Value of the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</si>
</sst>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;\(0.0%\);\-"/>
    <numFmt numFmtId="165" formatCode="#,##0.0"/>
    <numFmt numFmtId="166" formatCode="0.0\x"/>
    <numFmt numFmtId="167" formatCode="\$#,##0.0;&quot;($&quot;#,##0.0\);\-"/>
    <numFmt numFmtId="168" formatCode="0.000"/>
    <numFmt numFmtId="169" formatCode="&quot;Year&quot;\ General"/>
  </numFmts>
  <fonts count="2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8"/>
      <color rgb="FFFFFFFF"/>
      <name val="Arial"/>
      <family val="2"/>
    </font>
    <font>
      <i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charset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6"/>
      <name val="Arial"/>
      <family val="2"/>
    </font>
    <font>
      <b/>
      <sz val="16"/>
      <color rgb="FFFFFFFF"/>
      <name val="Arial"/>
      <family val="2"/>
    </font>
    <font>
      <b/>
      <sz val="10"/>
      <color theme="0"/>
      <name val="Arial"/>
      <family val="2"/>
    </font>
    <font>
      <i/>
      <sz val="10"/>
      <color theme="1" tint="0.499984740745262"/>
      <name val="Arial"/>
      <family val="2"/>
    </font>
    <font>
      <i/>
      <sz val="11"/>
      <color theme="1" tint="0.499984740745262"/>
      <name val="Calibri"/>
      <family val="2"/>
      <charset val="1"/>
    </font>
    <font>
      <sz val="10"/>
      <color theme="1" tint="0.499984740745262"/>
      <name val="Arial"/>
      <family val="2"/>
    </font>
    <font>
      <sz val="11"/>
      <color theme="1" tint="0.499984740745262"/>
      <name val="Calibri"/>
      <family val="2"/>
      <charset val="1"/>
    </font>
    <font>
      <sz val="11"/>
      <color theme="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C"/>
        <bgColor rgb="FF2E75B6"/>
      </patternFill>
    </fill>
    <fill>
      <patternFill patternType="solid">
        <fgColor theme="4" tint="-0.499984740745262"/>
        <bgColor rgb="FF333399"/>
      </patternFill>
    </fill>
    <fill>
      <patternFill patternType="solid">
        <fgColor rgb="FFFFFF99"/>
        <bgColor rgb="FF333333"/>
      </patternFill>
    </fill>
    <fill>
      <patternFill patternType="solid">
        <fgColor rgb="FFFFFF99"/>
        <bgColor indexed="64"/>
      </patternFill>
    </fill>
    <fill>
      <patternFill patternType="solid">
        <fgColor theme="4" tint="-0.499984740745262"/>
        <bgColor rgb="FF2E75B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00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107">
    <xf numFmtId="0" fontId="0" fillId="0" borderId="0" xfId="0"/>
    <xf numFmtId="0" fontId="4" fillId="3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4" fillId="0" borderId="0" xfId="0" applyFont="1" applyAlignment="1">
      <alignment horizontal="left" vertical="center"/>
    </xf>
    <xf numFmtId="4" fontId="0" fillId="0" borderId="0" xfId="0" applyNumberFormat="1"/>
    <xf numFmtId="0" fontId="8" fillId="0" borderId="0" xfId="0" applyFont="1"/>
    <xf numFmtId="0" fontId="16" fillId="0" borderId="0" xfId="0" applyFont="1"/>
    <xf numFmtId="0" fontId="14" fillId="0" borderId="1" xfId="0" applyFont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7" fillId="0" borderId="0" xfId="0" applyFont="1"/>
    <xf numFmtId="0" fontId="0" fillId="0" borderId="0" xfId="0" applyAlignment="1">
      <alignment horizontal="center"/>
    </xf>
    <xf numFmtId="169" fontId="12" fillId="2" borderId="1" xfId="0" applyNumberFormat="1" applyFont="1" applyFill="1" applyBorder="1" applyAlignment="1">
      <alignment horizontal="center" vertical="center" wrapText="1"/>
    </xf>
    <xf numFmtId="4" fontId="0" fillId="0" borderId="1" xfId="0" applyNumberFormat="1" applyBorder="1"/>
    <xf numFmtId="4" fontId="4" fillId="2" borderId="1" xfId="0" applyNumberFormat="1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center" vertical="center" wrapText="1"/>
    </xf>
    <xf numFmtId="169" fontId="12" fillId="7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3" fontId="1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3" fontId="1" fillId="0" borderId="9" xfId="0" applyNumberFormat="1" applyFont="1" applyBorder="1" applyAlignment="1">
      <alignment horizontal="center" vertical="center"/>
    </xf>
    <xf numFmtId="4" fontId="1" fillId="0" borderId="9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3" fontId="13" fillId="0" borderId="8" xfId="0" applyNumberFormat="1" applyFont="1" applyBorder="1" applyAlignment="1">
      <alignment horizontal="center" vertical="center"/>
    </xf>
    <xf numFmtId="0" fontId="13" fillId="6" borderId="10" xfId="0" applyFont="1" applyFill="1" applyBorder="1" applyAlignment="1">
      <alignment horizontal="left" vertical="center"/>
    </xf>
    <xf numFmtId="3" fontId="13" fillId="6" borderId="1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4" fontId="21" fillId="0" borderId="1" xfId="0" applyNumberFormat="1" applyFont="1" applyBorder="1" applyAlignment="1">
      <alignment horizontal="center" vertical="center"/>
    </xf>
    <xf numFmtId="9" fontId="21" fillId="0" borderId="1" xfId="1" applyFont="1" applyBorder="1" applyAlignment="1">
      <alignment horizontal="center" vertical="center"/>
    </xf>
    <xf numFmtId="0" fontId="22" fillId="0" borderId="0" xfId="0" applyFont="1"/>
    <xf numFmtId="9" fontId="23" fillId="0" borderId="1" xfId="1" applyFont="1" applyBorder="1" applyAlignment="1">
      <alignment horizontal="center" vertical="center"/>
    </xf>
    <xf numFmtId="0" fontId="24" fillId="0" borderId="0" xfId="0" applyFont="1"/>
    <xf numFmtId="0" fontId="21" fillId="0" borderId="11" xfId="0" applyFont="1" applyBorder="1" applyAlignment="1">
      <alignment horizontal="left" vertical="center"/>
    </xf>
    <xf numFmtId="164" fontId="21" fillId="0" borderId="11" xfId="0" applyNumberFormat="1" applyFont="1" applyBorder="1" applyAlignment="1">
      <alignment horizontal="center" vertical="center"/>
    </xf>
    <xf numFmtId="3" fontId="13" fillId="8" borderId="1" xfId="0" applyNumberFormat="1" applyFont="1" applyFill="1" applyBorder="1" applyAlignment="1">
      <alignment horizontal="center" vertical="center"/>
    </xf>
    <xf numFmtId="3" fontId="1" fillId="8" borderId="9" xfId="0" applyNumberFormat="1" applyFont="1" applyFill="1" applyBorder="1" applyAlignment="1">
      <alignment horizontal="center" vertical="center"/>
    </xf>
    <xf numFmtId="0" fontId="8" fillId="0" borderId="1" xfId="0" applyFont="1" applyBorder="1"/>
    <xf numFmtId="0" fontId="20" fillId="7" borderId="1" xfId="0" applyFont="1" applyFill="1" applyBorder="1"/>
    <xf numFmtId="0" fontId="25" fillId="0" borderId="0" xfId="0" applyFont="1"/>
    <xf numFmtId="169" fontId="20" fillId="7" borderId="1" xfId="0" applyNumberFormat="1" applyFont="1" applyFill="1" applyBorder="1" applyAlignment="1">
      <alignment horizontal="center" vertical="center" wrapText="1"/>
    </xf>
    <xf numFmtId="169" fontId="20" fillId="2" borderId="1" xfId="0" applyNumberFormat="1" applyFont="1" applyFill="1" applyBorder="1" applyAlignment="1">
      <alignment horizontal="center" vertical="center" wrapText="1"/>
    </xf>
    <xf numFmtId="3" fontId="1" fillId="8" borderId="1" xfId="0" applyNumberFormat="1" applyFont="1" applyFill="1" applyBorder="1" applyAlignment="1">
      <alignment horizontal="center" vertical="center"/>
    </xf>
    <xf numFmtId="0" fontId="25" fillId="0" borderId="1" xfId="0" applyFont="1" applyBorder="1"/>
    <xf numFmtId="4" fontId="7" fillId="0" borderId="1" xfId="0" applyNumberFormat="1" applyFont="1" applyBorder="1" applyAlignment="1">
      <alignment horizontal="left" vertical="center"/>
    </xf>
    <xf numFmtId="4" fontId="11" fillId="0" borderId="1" xfId="0" applyNumberFormat="1" applyFont="1" applyBorder="1" applyAlignment="1">
      <alignment horizontal="left" vertical="center"/>
    </xf>
    <xf numFmtId="4" fontId="0" fillId="0" borderId="9" xfId="0" applyNumberFormat="1" applyBorder="1"/>
    <xf numFmtId="4" fontId="13" fillId="5" borderId="10" xfId="0" applyNumberFormat="1" applyFont="1" applyFill="1" applyBorder="1" applyAlignment="1">
      <alignment horizontal="left" vertical="center"/>
    </xf>
    <xf numFmtId="4" fontId="9" fillId="6" borderId="10" xfId="0" applyNumberFormat="1" applyFont="1" applyFill="1" applyBorder="1"/>
    <xf numFmtId="1" fontId="1" fillId="0" borderId="1" xfId="0" applyNumberFormat="1" applyFont="1" applyBorder="1" applyAlignment="1">
      <alignment horizontal="right" vertical="center"/>
    </xf>
    <xf numFmtId="0" fontId="9" fillId="0" borderId="1" xfId="0" applyFont="1" applyBorder="1"/>
    <xf numFmtId="164" fontId="1" fillId="0" borderId="1" xfId="0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left" vertical="center"/>
    </xf>
    <xf numFmtId="4" fontId="9" fillId="0" borderId="1" xfId="0" applyNumberFormat="1" applyFont="1" applyBorder="1"/>
    <xf numFmtId="4" fontId="13" fillId="0" borderId="1" xfId="0" applyNumberFormat="1" applyFont="1" applyBorder="1" applyAlignment="1">
      <alignment horizontal="left" vertical="center"/>
    </xf>
    <xf numFmtId="0" fontId="0" fillId="8" borderId="0" xfId="0" applyFill="1"/>
    <xf numFmtId="0" fontId="14" fillId="0" borderId="0" xfId="0" applyFont="1"/>
    <xf numFmtId="4" fontId="7" fillId="0" borderId="9" xfId="0" applyNumberFormat="1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right" vertical="center"/>
    </xf>
    <xf numFmtId="3" fontId="13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1" fillId="8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2" fontId="1" fillId="8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15" fillId="4" borderId="4" xfId="0" applyFont="1" applyFill="1" applyBorder="1" applyAlignment="1">
      <alignment horizontal="center"/>
    </xf>
    <xf numFmtId="0" fontId="15" fillId="4" borderId="3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/>
    </xf>
    <xf numFmtId="0" fontId="14" fillId="0" borderId="4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1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17" fontId="1" fillId="9" borderId="0" xfId="0" applyNumberFormat="1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9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0" borderId="6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165" fontId="8" fillId="0" borderId="0" xfId="0" applyNumberFormat="1" applyFont="1" applyAlignment="1">
      <alignment horizontal="right" vertical="center"/>
    </xf>
    <xf numFmtId="167" fontId="4" fillId="0" borderId="0" xfId="0" applyNumberFormat="1" applyFont="1" applyAlignment="1">
      <alignment horizontal="right" vertical="center"/>
    </xf>
    <xf numFmtId="3" fontId="7" fillId="0" borderId="1" xfId="0" applyNumberFormat="1" applyFont="1" applyBorder="1" applyAlignment="1">
      <alignment horizontal="center" vertical="center"/>
    </xf>
    <xf numFmtId="3" fontId="7" fillId="0" borderId="9" xfId="0" applyNumberFormat="1" applyFont="1" applyBorder="1" applyAlignment="1">
      <alignment horizontal="center" vertical="center"/>
    </xf>
    <xf numFmtId="3" fontId="13" fillId="5" borderId="10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1" xfId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3" fontId="4" fillId="2" borderId="1" xfId="0" applyNumberFormat="1" applyFont="1" applyFill="1" applyBorder="1" applyAlignment="1">
      <alignment horizontal="right" vertical="center"/>
    </xf>
    <xf numFmtId="4" fontId="4" fillId="3" borderId="1" xfId="0" applyNumberFormat="1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2FB"/>
      <rgbColor rgb="FF660066"/>
      <rgbColor rgb="FFFF8080"/>
      <rgbColor rgb="FF2E5FA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ED7D31"/>
      <rgbColor rgb="FF666666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76AD9-1289-5A49-BCC2-FE0DA8A9AD38}">
  <sheetPr>
    <tabColor rgb="FFBFBFBF"/>
  </sheetPr>
  <dimension ref="B2:L28"/>
  <sheetViews>
    <sheetView showGridLines="0" tabSelected="1" zoomScaleNormal="100" workbookViewId="0">
      <selection activeCell="H12" sqref="H12"/>
    </sheetView>
  </sheetViews>
  <sheetFormatPr defaultColWidth="8.6640625" defaultRowHeight="14.4" x14ac:dyDescent="0.3"/>
  <cols>
    <col min="1" max="1" width="1.77734375" customWidth="1"/>
    <col min="2" max="2" width="9.109375" customWidth="1"/>
    <col min="3" max="3" width="10.44140625" customWidth="1"/>
    <col min="5" max="5" width="10.44140625" customWidth="1"/>
    <col min="9" max="9" width="36.88671875" customWidth="1"/>
  </cols>
  <sheetData>
    <row r="2" spans="2:12" ht="18.75" customHeight="1" x14ac:dyDescent="0.35">
      <c r="B2" s="7" t="s">
        <v>113</v>
      </c>
    </row>
    <row r="4" spans="2:12" x14ac:dyDescent="0.3">
      <c r="B4" s="9" t="s">
        <v>112</v>
      </c>
      <c r="C4" s="74" t="s">
        <v>111</v>
      </c>
      <c r="D4" s="75"/>
      <c r="E4" s="75"/>
      <c r="F4" s="75"/>
      <c r="G4" s="75"/>
      <c r="H4" s="75"/>
      <c r="I4" s="76"/>
    </row>
    <row r="5" spans="2:12" x14ac:dyDescent="0.3">
      <c r="B5" s="8">
        <v>1</v>
      </c>
      <c r="C5" s="80" t="s">
        <v>110</v>
      </c>
      <c r="D5" s="80"/>
      <c r="E5" s="80"/>
      <c r="F5" s="80"/>
      <c r="G5" s="80"/>
      <c r="H5" s="80"/>
      <c r="I5" s="80"/>
    </row>
    <row r="6" spans="2:12" x14ac:dyDescent="0.3">
      <c r="B6" s="8">
        <v>2</v>
      </c>
      <c r="C6" s="81" t="s">
        <v>109</v>
      </c>
      <c r="D6" s="82"/>
      <c r="E6" s="82"/>
      <c r="F6" s="82"/>
      <c r="G6" s="82"/>
      <c r="H6" s="82"/>
      <c r="I6" s="83"/>
    </row>
    <row r="7" spans="2:12" x14ac:dyDescent="0.3">
      <c r="B7" s="8">
        <v>3</v>
      </c>
      <c r="C7" s="80" t="s">
        <v>108</v>
      </c>
      <c r="D7" s="80"/>
      <c r="E7" s="80"/>
      <c r="F7" s="80"/>
      <c r="G7" s="80"/>
      <c r="H7" s="80"/>
      <c r="I7" s="80"/>
    </row>
    <row r="8" spans="2:12" x14ac:dyDescent="0.3">
      <c r="B8" s="8">
        <v>4</v>
      </c>
      <c r="C8" s="80" t="s">
        <v>107</v>
      </c>
      <c r="D8" s="80"/>
      <c r="E8" s="80"/>
      <c r="F8" s="80"/>
      <c r="G8" s="80"/>
      <c r="H8" s="80"/>
      <c r="I8" s="80"/>
    </row>
    <row r="9" spans="2:12" x14ac:dyDescent="0.3">
      <c r="B9" s="8">
        <v>5</v>
      </c>
      <c r="C9" s="80" t="s">
        <v>106</v>
      </c>
      <c r="D9" s="80"/>
      <c r="E9" s="80"/>
      <c r="F9" s="80"/>
      <c r="G9" s="80"/>
      <c r="H9" s="80"/>
      <c r="I9" s="80"/>
    </row>
    <row r="12" spans="2:12" ht="18.75" customHeight="1" x14ac:dyDescent="0.35">
      <c r="B12" s="7" t="s">
        <v>105</v>
      </c>
    </row>
    <row r="14" spans="2:12" x14ac:dyDescent="0.3">
      <c r="B14" s="73" t="s">
        <v>104</v>
      </c>
      <c r="C14" s="73"/>
      <c r="D14" s="73"/>
      <c r="E14" s="73" t="s">
        <v>90</v>
      </c>
      <c r="F14" s="73"/>
      <c r="G14" s="73"/>
      <c r="H14" s="73"/>
      <c r="I14" s="73"/>
      <c r="J14" s="73"/>
      <c r="K14" s="73"/>
      <c r="L14" s="73"/>
    </row>
    <row r="15" spans="2:12" x14ac:dyDescent="0.3">
      <c r="B15" s="72" t="s">
        <v>103</v>
      </c>
      <c r="C15" s="72"/>
      <c r="D15" s="72"/>
      <c r="E15" s="72" t="s">
        <v>102</v>
      </c>
      <c r="F15" s="72"/>
      <c r="G15" s="72"/>
      <c r="H15" s="72"/>
      <c r="I15" s="72"/>
      <c r="J15" s="72"/>
      <c r="K15" s="72"/>
      <c r="L15" s="72"/>
    </row>
    <row r="16" spans="2:12" x14ac:dyDescent="0.3">
      <c r="B16" s="72" t="s">
        <v>101</v>
      </c>
      <c r="C16" s="72"/>
      <c r="D16" s="72"/>
      <c r="E16" s="72" t="s">
        <v>100</v>
      </c>
      <c r="F16" s="72"/>
      <c r="G16" s="72"/>
      <c r="H16" s="72"/>
      <c r="I16" s="72"/>
      <c r="J16" s="72"/>
      <c r="K16" s="72"/>
      <c r="L16" s="72"/>
    </row>
    <row r="17" spans="2:12" x14ac:dyDescent="0.3">
      <c r="B17" s="72" t="s">
        <v>99</v>
      </c>
      <c r="C17" s="72"/>
      <c r="D17" s="72"/>
      <c r="E17" s="72" t="s">
        <v>98</v>
      </c>
      <c r="F17" s="72"/>
      <c r="G17" s="72"/>
      <c r="H17" s="72"/>
      <c r="I17" s="72"/>
      <c r="J17" s="72"/>
      <c r="K17" s="72"/>
      <c r="L17" s="72"/>
    </row>
    <row r="18" spans="2:12" x14ac:dyDescent="0.3">
      <c r="B18" s="72" t="s">
        <v>97</v>
      </c>
      <c r="C18" s="72"/>
      <c r="D18" s="72"/>
      <c r="E18" s="72" t="s">
        <v>96</v>
      </c>
      <c r="F18" s="72"/>
      <c r="G18" s="72"/>
      <c r="H18" s="72"/>
      <c r="I18" s="72"/>
      <c r="J18" s="72"/>
      <c r="K18" s="72"/>
      <c r="L18" s="72"/>
    </row>
    <row r="19" spans="2:12" x14ac:dyDescent="0.3">
      <c r="B19" s="72" t="s">
        <v>43</v>
      </c>
      <c r="C19" s="72"/>
      <c r="D19" s="72"/>
      <c r="E19" s="72" t="s">
        <v>95</v>
      </c>
      <c r="F19" s="72"/>
      <c r="G19" s="72"/>
      <c r="H19" s="72"/>
      <c r="I19" s="72"/>
      <c r="J19" s="72"/>
      <c r="K19" s="72"/>
      <c r="L19" s="72"/>
    </row>
    <row r="20" spans="2:12" x14ac:dyDescent="0.3">
      <c r="B20" s="72" t="s">
        <v>94</v>
      </c>
      <c r="C20" s="72"/>
      <c r="D20" s="72"/>
      <c r="E20" s="72" t="s">
        <v>93</v>
      </c>
      <c r="F20" s="72"/>
      <c r="G20" s="72"/>
      <c r="H20" s="72"/>
      <c r="I20" s="72"/>
      <c r="J20" s="72"/>
      <c r="K20" s="72"/>
      <c r="L20" s="72"/>
    </row>
    <row r="23" spans="2:12" ht="18.75" customHeight="1" x14ac:dyDescent="0.35">
      <c r="B23" s="7" t="s">
        <v>92</v>
      </c>
    </row>
    <row r="25" spans="2:12" x14ac:dyDescent="0.3">
      <c r="B25" s="73" t="s">
        <v>91</v>
      </c>
      <c r="C25" s="73"/>
      <c r="D25" s="73"/>
      <c r="E25" s="73" t="s">
        <v>90</v>
      </c>
      <c r="F25" s="73"/>
      <c r="G25" s="73"/>
      <c r="H25" s="73"/>
      <c r="I25" s="73"/>
      <c r="J25" s="73"/>
    </row>
    <row r="26" spans="2:12" x14ac:dyDescent="0.3">
      <c r="B26" s="77" t="s">
        <v>118</v>
      </c>
      <c r="C26" s="78"/>
      <c r="D26" s="79"/>
      <c r="E26" s="77" t="s">
        <v>119</v>
      </c>
      <c r="F26" s="78"/>
      <c r="G26" s="78"/>
      <c r="H26" s="78"/>
      <c r="I26" s="78"/>
      <c r="J26" s="79"/>
    </row>
    <row r="27" spans="2:12" x14ac:dyDescent="0.3">
      <c r="B27" s="72" t="s">
        <v>89</v>
      </c>
      <c r="C27" s="72"/>
      <c r="D27" s="72"/>
      <c r="E27" s="72" t="s">
        <v>88</v>
      </c>
      <c r="F27" s="72"/>
      <c r="G27" s="72"/>
      <c r="H27" s="72"/>
      <c r="I27" s="72"/>
      <c r="J27" s="72"/>
    </row>
    <row r="28" spans="2:12" x14ac:dyDescent="0.3">
      <c r="B28" s="72" t="s">
        <v>87</v>
      </c>
      <c r="C28" s="72"/>
      <c r="D28" s="72"/>
      <c r="E28" s="72" t="s">
        <v>86</v>
      </c>
      <c r="F28" s="72"/>
      <c r="G28" s="72"/>
      <c r="H28" s="72"/>
      <c r="I28" s="72"/>
      <c r="J28" s="72"/>
    </row>
  </sheetData>
  <mergeCells count="28">
    <mergeCell ref="B16:D16"/>
    <mergeCell ref="E16:L16"/>
    <mergeCell ref="C5:I5"/>
    <mergeCell ref="C6:I6"/>
    <mergeCell ref="C7:I7"/>
    <mergeCell ref="C8:I8"/>
    <mergeCell ref="C9:I9"/>
    <mergeCell ref="C4:I4"/>
    <mergeCell ref="B26:D26"/>
    <mergeCell ref="E26:J26"/>
    <mergeCell ref="B27:D27"/>
    <mergeCell ref="E27:J27"/>
    <mergeCell ref="E25:J25"/>
    <mergeCell ref="B17:D17"/>
    <mergeCell ref="E17:L17"/>
    <mergeCell ref="B18:D18"/>
    <mergeCell ref="E18:L18"/>
    <mergeCell ref="B19:D19"/>
    <mergeCell ref="E19:L19"/>
    <mergeCell ref="B14:D14"/>
    <mergeCell ref="E14:L14"/>
    <mergeCell ref="B15:D15"/>
    <mergeCell ref="E15:L15"/>
    <mergeCell ref="B28:D28"/>
    <mergeCell ref="E28:J28"/>
    <mergeCell ref="B20:D20"/>
    <mergeCell ref="E20:L20"/>
    <mergeCell ref="B25:D25"/>
  </mergeCells>
  <pageMargins left="0.75" right="0.75" top="1" bottom="1" header="0.511811023622047" footer="0.511811023622047"/>
  <pageSetup paperSize="9" orientation="portrait" horizontalDpi="300" verticalDpi="30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D39"/>
  <sheetViews>
    <sheetView showGridLines="0" zoomScaleNormal="100" workbookViewId="0">
      <selection activeCell="C20" sqref="C20:D20"/>
    </sheetView>
  </sheetViews>
  <sheetFormatPr defaultColWidth="8.6640625" defaultRowHeight="14.4" x14ac:dyDescent="0.3"/>
  <cols>
    <col min="1" max="1" width="5" customWidth="1"/>
    <col min="2" max="2" width="30" customWidth="1"/>
    <col min="3" max="3" width="45.44140625" customWidth="1"/>
  </cols>
  <sheetData>
    <row r="1" spans="2:4" ht="18" customHeight="1" x14ac:dyDescent="0.3"/>
    <row r="2" spans="2:4" ht="18" customHeight="1" x14ac:dyDescent="0.3">
      <c r="B2" s="87" t="s">
        <v>0</v>
      </c>
      <c r="C2" s="87"/>
      <c r="D2" s="87"/>
    </row>
    <row r="3" spans="2:4" ht="18" customHeight="1" x14ac:dyDescent="0.3">
      <c r="B3" s="87"/>
      <c r="C3" s="87"/>
      <c r="D3" s="87"/>
    </row>
    <row r="4" spans="2:4" ht="18" customHeight="1" x14ac:dyDescent="0.3">
      <c r="B4" s="87"/>
      <c r="C4" s="87"/>
      <c r="D4" s="87"/>
    </row>
    <row r="5" spans="2:4" ht="18" customHeight="1" x14ac:dyDescent="0.3">
      <c r="B5" s="87"/>
      <c r="C5" s="87"/>
      <c r="D5" s="87"/>
    </row>
    <row r="6" spans="2:4" ht="18" customHeight="1" x14ac:dyDescent="0.3">
      <c r="B6" s="88" t="s">
        <v>1</v>
      </c>
      <c r="C6" s="88"/>
      <c r="D6" s="88"/>
    </row>
    <row r="7" spans="2:4" ht="18" customHeight="1" x14ac:dyDescent="0.3">
      <c r="B7" s="88"/>
      <c r="C7" s="88"/>
      <c r="D7" s="88"/>
    </row>
    <row r="8" spans="2:4" ht="18" customHeight="1" x14ac:dyDescent="0.3"/>
    <row r="9" spans="2:4" ht="18" customHeight="1" x14ac:dyDescent="0.3"/>
    <row r="10" spans="2:4" ht="18" customHeight="1" x14ac:dyDescent="0.3">
      <c r="B10" s="1" t="s">
        <v>2</v>
      </c>
      <c r="C10" s="85" t="s">
        <v>120</v>
      </c>
      <c r="D10" s="85"/>
    </row>
    <row r="11" spans="2:4" ht="18" customHeight="1" x14ac:dyDescent="0.3"/>
    <row r="12" spans="2:4" ht="18" customHeight="1" x14ac:dyDescent="0.3">
      <c r="B12" s="1" t="s">
        <v>3</v>
      </c>
      <c r="C12" s="85" t="s">
        <v>121</v>
      </c>
      <c r="D12" s="85"/>
    </row>
    <row r="13" spans="2:4" ht="18" customHeight="1" x14ac:dyDescent="0.3"/>
    <row r="14" spans="2:4" ht="18" customHeight="1" x14ac:dyDescent="0.3">
      <c r="B14" s="1" t="s">
        <v>4</v>
      </c>
      <c r="C14" s="84">
        <v>46082</v>
      </c>
      <c r="D14" s="85"/>
    </row>
    <row r="15" spans="2:4" ht="18" customHeight="1" x14ac:dyDescent="0.3"/>
    <row r="16" spans="2:4" ht="18" customHeight="1" x14ac:dyDescent="0.3">
      <c r="B16" s="1" t="s">
        <v>5</v>
      </c>
      <c r="C16" s="84">
        <v>46082</v>
      </c>
      <c r="D16" s="85"/>
    </row>
    <row r="17" spans="2:4" ht="18" customHeight="1" x14ac:dyDescent="0.3"/>
    <row r="18" spans="2:4" ht="18" customHeight="1" x14ac:dyDescent="0.3">
      <c r="B18" s="1" t="s">
        <v>6</v>
      </c>
      <c r="C18" s="85" t="s">
        <v>122</v>
      </c>
      <c r="D18" s="85"/>
    </row>
    <row r="19" spans="2:4" ht="18" customHeight="1" x14ac:dyDescent="0.3"/>
    <row r="20" spans="2:4" ht="18" customHeight="1" x14ac:dyDescent="0.3">
      <c r="B20" s="1" t="s">
        <v>7</v>
      </c>
      <c r="C20" s="85">
        <v>1000</v>
      </c>
      <c r="D20" s="85"/>
    </row>
    <row r="21" spans="2:4" ht="18" customHeight="1" x14ac:dyDescent="0.3"/>
    <row r="22" spans="2:4" ht="18" customHeight="1" x14ac:dyDescent="0.3"/>
    <row r="23" spans="2:4" ht="18" customHeight="1" x14ac:dyDescent="0.3"/>
    <row r="24" spans="2:4" ht="21.75" customHeight="1" x14ac:dyDescent="0.3">
      <c r="B24" s="86" t="s">
        <v>8</v>
      </c>
      <c r="C24" s="86"/>
      <c r="D24" s="86"/>
    </row>
    <row r="25" spans="2:4" ht="18" customHeight="1" x14ac:dyDescent="0.3"/>
    <row r="26" spans="2:4" ht="18" customHeight="1" x14ac:dyDescent="0.3">
      <c r="B26" s="17" t="s">
        <v>9</v>
      </c>
      <c r="C26" s="18" t="s">
        <v>10</v>
      </c>
    </row>
    <row r="27" spans="2:4" ht="18" customHeight="1" x14ac:dyDescent="0.3">
      <c r="B27" s="17" t="s">
        <v>11</v>
      </c>
      <c r="C27" s="18" t="s">
        <v>12</v>
      </c>
    </row>
    <row r="28" spans="2:4" ht="18" customHeight="1" x14ac:dyDescent="0.3">
      <c r="B28" s="17" t="s">
        <v>13</v>
      </c>
      <c r="C28" s="18" t="s">
        <v>14</v>
      </c>
    </row>
    <row r="29" spans="2:4" ht="18" customHeight="1" x14ac:dyDescent="0.3">
      <c r="B29" s="17" t="s">
        <v>15</v>
      </c>
      <c r="C29" s="19" t="s">
        <v>74</v>
      </c>
    </row>
    <row r="30" spans="2:4" ht="18" customHeight="1" x14ac:dyDescent="0.3"/>
    <row r="31" spans="2:4" ht="18" customHeight="1" x14ac:dyDescent="0.3"/>
    <row r="32" spans="2:4" ht="18" customHeight="1" x14ac:dyDescent="0.3"/>
    <row r="33" spans="2:4" ht="21.75" customHeight="1" x14ac:dyDescent="0.3">
      <c r="B33" s="86" t="s">
        <v>16</v>
      </c>
      <c r="C33" s="86"/>
      <c r="D33" s="86"/>
    </row>
    <row r="34" spans="2:4" ht="18" customHeight="1" x14ac:dyDescent="0.3"/>
    <row r="35" spans="2:4" ht="18" customHeight="1" x14ac:dyDescent="0.3">
      <c r="B35" s="60"/>
      <c r="C35" s="61" t="s">
        <v>117</v>
      </c>
    </row>
    <row r="36" spans="2:4" ht="18" customHeight="1" x14ac:dyDescent="0.3"/>
    <row r="37" spans="2:4" ht="18" customHeight="1" x14ac:dyDescent="0.3"/>
    <row r="38" spans="2:4" ht="18" customHeight="1" x14ac:dyDescent="0.3"/>
    <row r="39" spans="2:4" ht="18" customHeight="1" x14ac:dyDescent="0.3"/>
  </sheetData>
  <mergeCells count="10">
    <mergeCell ref="B2:D5"/>
    <mergeCell ref="B6:D7"/>
    <mergeCell ref="C10:D10"/>
    <mergeCell ref="C12:D12"/>
    <mergeCell ref="C14:D14"/>
    <mergeCell ref="C16:D16"/>
    <mergeCell ref="C18:D18"/>
    <mergeCell ref="C20:D20"/>
    <mergeCell ref="B24:D24"/>
    <mergeCell ref="B33:D3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AC"/>
  </sheetPr>
  <dimension ref="B2:D46"/>
  <sheetViews>
    <sheetView showGridLines="0" zoomScaleNormal="100" workbookViewId="0">
      <selection activeCell="K30" sqref="K30"/>
    </sheetView>
  </sheetViews>
  <sheetFormatPr defaultColWidth="8.6640625" defaultRowHeight="14.4" x14ac:dyDescent="0.3"/>
  <cols>
    <col min="1" max="1" width="3" customWidth="1"/>
    <col min="2" max="2" width="35" customWidth="1"/>
    <col min="3" max="3" width="18" style="11" customWidth="1"/>
    <col min="4" max="4" width="18" customWidth="1"/>
  </cols>
  <sheetData>
    <row r="2" spans="2:4" ht="21" x14ac:dyDescent="0.3">
      <c r="B2" s="91" t="s">
        <v>17</v>
      </c>
      <c r="C2" s="91"/>
      <c r="D2" s="91"/>
    </row>
    <row r="4" spans="2:4" x14ac:dyDescent="0.3">
      <c r="B4" s="89" t="s">
        <v>18</v>
      </c>
      <c r="C4" s="89"/>
      <c r="D4" s="89"/>
    </row>
    <row r="5" spans="2:4" x14ac:dyDescent="0.3">
      <c r="B5" s="18" t="s">
        <v>19</v>
      </c>
      <c r="C5" s="46">
        <v>5</v>
      </c>
      <c r="D5" s="41"/>
    </row>
    <row r="6" spans="2:4" x14ac:dyDescent="0.3">
      <c r="B6" s="18" t="s">
        <v>20</v>
      </c>
      <c r="C6" s="68">
        <v>2025</v>
      </c>
      <c r="D6" s="41"/>
    </row>
    <row r="7" spans="2:4" x14ac:dyDescent="0.3">
      <c r="B7" s="18" t="s">
        <v>21</v>
      </c>
      <c r="C7" s="68">
        <v>2026</v>
      </c>
      <c r="D7" s="41"/>
    </row>
    <row r="9" spans="2:4" x14ac:dyDescent="0.3">
      <c r="B9" s="89" t="s">
        <v>22</v>
      </c>
      <c r="C9" s="89"/>
      <c r="D9" s="89"/>
    </row>
    <row r="10" spans="2:4" x14ac:dyDescent="0.3">
      <c r="B10" s="18" t="s">
        <v>23</v>
      </c>
      <c r="C10" s="69">
        <v>0.06</v>
      </c>
      <c r="D10" s="41"/>
    </row>
    <row r="11" spans="2:4" x14ac:dyDescent="0.3">
      <c r="B11" s="18" t="s">
        <v>24</v>
      </c>
      <c r="C11" s="69">
        <v>0.08</v>
      </c>
      <c r="D11" s="41"/>
    </row>
    <row r="12" spans="2:4" x14ac:dyDescent="0.3">
      <c r="B12" s="18" t="s">
        <v>25</v>
      </c>
      <c r="C12" s="69">
        <v>0.12</v>
      </c>
      <c r="D12" s="41"/>
    </row>
    <row r="13" spans="2:4" x14ac:dyDescent="0.3">
      <c r="B13" s="18" t="s">
        <v>26</v>
      </c>
      <c r="C13" s="69">
        <v>0.16</v>
      </c>
      <c r="D13" s="41"/>
    </row>
    <row r="14" spans="2:4" x14ac:dyDescent="0.3">
      <c r="B14" s="18" t="s">
        <v>27</v>
      </c>
      <c r="C14" s="69">
        <v>0.22</v>
      </c>
      <c r="D14" s="41"/>
    </row>
    <row r="16" spans="2:4" x14ac:dyDescent="0.3">
      <c r="B16" s="89" t="s">
        <v>28</v>
      </c>
      <c r="C16" s="89"/>
      <c r="D16" s="89"/>
    </row>
    <row r="17" spans="2:4" x14ac:dyDescent="0.3">
      <c r="B17" s="18" t="s">
        <v>29</v>
      </c>
      <c r="C17" s="69">
        <v>0.45</v>
      </c>
      <c r="D17" s="41"/>
    </row>
    <row r="18" spans="2:4" x14ac:dyDescent="0.3">
      <c r="B18" s="18" t="s">
        <v>30</v>
      </c>
      <c r="C18" s="69">
        <v>0.22</v>
      </c>
      <c r="D18" s="41"/>
    </row>
    <row r="19" spans="2:4" x14ac:dyDescent="0.3">
      <c r="B19" s="18" t="s">
        <v>31</v>
      </c>
      <c r="C19" s="69">
        <v>0.16</v>
      </c>
      <c r="D19" s="41"/>
    </row>
    <row r="20" spans="2:4" x14ac:dyDescent="0.3">
      <c r="B20" s="18" t="s">
        <v>32</v>
      </c>
      <c r="C20" s="69">
        <v>0.25</v>
      </c>
      <c r="D20" s="41"/>
    </row>
    <row r="22" spans="2:4" x14ac:dyDescent="0.3">
      <c r="B22" s="89" t="s">
        <v>33</v>
      </c>
      <c r="C22" s="89"/>
      <c r="D22" s="89"/>
    </row>
    <row r="23" spans="2:4" x14ac:dyDescent="0.3">
      <c r="B23" s="18" t="s">
        <v>123</v>
      </c>
      <c r="C23" s="46">
        <v>45</v>
      </c>
      <c r="D23" s="41"/>
    </row>
    <row r="24" spans="2:4" x14ac:dyDescent="0.3">
      <c r="B24" s="19" t="s">
        <v>75</v>
      </c>
      <c r="C24" s="46">
        <v>60</v>
      </c>
      <c r="D24" s="41"/>
    </row>
    <row r="25" spans="2:4" x14ac:dyDescent="0.3">
      <c r="B25" s="19" t="s">
        <v>76</v>
      </c>
      <c r="C25" s="46">
        <v>40</v>
      </c>
      <c r="D25" s="41"/>
    </row>
    <row r="27" spans="2:4" x14ac:dyDescent="0.3">
      <c r="B27" s="89" t="s">
        <v>34</v>
      </c>
      <c r="C27" s="89"/>
      <c r="D27" s="89"/>
    </row>
    <row r="28" spans="2:4" x14ac:dyDescent="0.3">
      <c r="B28" s="18" t="s">
        <v>35</v>
      </c>
      <c r="C28" s="69">
        <v>0.05</v>
      </c>
      <c r="D28" s="41"/>
    </row>
    <row r="29" spans="2:4" x14ac:dyDescent="0.3">
      <c r="B29" s="18" t="s">
        <v>36</v>
      </c>
      <c r="C29" s="69">
        <v>0.04</v>
      </c>
      <c r="D29" s="41"/>
    </row>
    <row r="31" spans="2:4" x14ac:dyDescent="0.3">
      <c r="B31" s="89" t="s">
        <v>37</v>
      </c>
      <c r="C31" s="89"/>
      <c r="D31" s="89"/>
    </row>
    <row r="32" spans="2:4" x14ac:dyDescent="0.3">
      <c r="B32" s="18" t="s">
        <v>38</v>
      </c>
      <c r="C32" s="69">
        <v>7.0000000000000007E-2</v>
      </c>
      <c r="D32" s="41"/>
    </row>
    <row r="33" spans="2:4" x14ac:dyDescent="0.3">
      <c r="B33" s="18" t="s">
        <v>82</v>
      </c>
      <c r="C33" s="69">
        <v>0.06</v>
      </c>
      <c r="D33" s="41"/>
    </row>
    <row r="34" spans="2:4" x14ac:dyDescent="0.3">
      <c r="B34" s="18" t="s">
        <v>39</v>
      </c>
      <c r="C34" s="70">
        <v>1.1000000000000001</v>
      </c>
      <c r="D34" s="41"/>
    </row>
    <row r="35" spans="2:4" x14ac:dyDescent="0.3">
      <c r="B35" s="17" t="s">
        <v>40</v>
      </c>
      <c r="C35" s="65">
        <f>C32+(C34*C33)</f>
        <v>0.13600000000000001</v>
      </c>
      <c r="D35" s="41"/>
    </row>
    <row r="36" spans="2:4" x14ac:dyDescent="0.3">
      <c r="B36" s="17" t="s">
        <v>41</v>
      </c>
      <c r="C36" s="65">
        <f>C35</f>
        <v>0.13600000000000001</v>
      </c>
      <c r="D36" s="41"/>
    </row>
    <row r="38" spans="2:4" x14ac:dyDescent="0.3">
      <c r="B38" s="89" t="s">
        <v>42</v>
      </c>
      <c r="C38" s="89"/>
      <c r="D38" s="89"/>
    </row>
    <row r="39" spans="2:4" x14ac:dyDescent="0.3">
      <c r="B39" s="18" t="s">
        <v>43</v>
      </c>
      <c r="C39" s="69">
        <v>2.5000000000000001E-2</v>
      </c>
      <c r="D39" s="41"/>
    </row>
    <row r="40" spans="2:4" x14ac:dyDescent="0.3">
      <c r="B40" s="18" t="s">
        <v>44</v>
      </c>
      <c r="C40" s="71">
        <v>8</v>
      </c>
      <c r="D40" s="41"/>
    </row>
    <row r="42" spans="2:4" x14ac:dyDescent="0.3">
      <c r="B42" s="90"/>
      <c r="C42" s="90"/>
      <c r="D42" s="90"/>
    </row>
    <row r="43" spans="2:4" x14ac:dyDescent="0.3">
      <c r="B43" s="2"/>
      <c r="C43" s="66"/>
      <c r="D43" s="6"/>
    </row>
    <row r="44" spans="2:4" x14ac:dyDescent="0.3">
      <c r="B44" s="2"/>
      <c r="C44" s="66"/>
      <c r="D44" s="6"/>
    </row>
    <row r="45" spans="2:4" x14ac:dyDescent="0.3">
      <c r="B45" s="2"/>
      <c r="C45" s="66"/>
      <c r="D45" s="6"/>
    </row>
    <row r="46" spans="2:4" x14ac:dyDescent="0.3">
      <c r="B46" s="2"/>
      <c r="C46" s="67"/>
      <c r="D46" s="6"/>
    </row>
  </sheetData>
  <mergeCells count="9">
    <mergeCell ref="B27:D27"/>
    <mergeCell ref="B31:D31"/>
    <mergeCell ref="B38:D38"/>
    <mergeCell ref="B42:D42"/>
    <mergeCell ref="B2:D2"/>
    <mergeCell ref="B4:D4"/>
    <mergeCell ref="B9:D9"/>
    <mergeCell ref="B16:D16"/>
    <mergeCell ref="B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B2:J20"/>
  <sheetViews>
    <sheetView showGridLines="0" zoomScaleNormal="100" workbookViewId="0">
      <selection activeCell="F21" sqref="F21"/>
    </sheetView>
  </sheetViews>
  <sheetFormatPr defaultColWidth="8.6640625" defaultRowHeight="14.4" x14ac:dyDescent="0.3"/>
  <cols>
    <col min="1" max="1" width="3" customWidth="1"/>
    <col min="2" max="2" width="32" customWidth="1"/>
    <col min="3" max="10" width="14" style="11" customWidth="1"/>
  </cols>
  <sheetData>
    <row r="2" spans="2:10" ht="21" x14ac:dyDescent="0.3">
      <c r="B2" s="92" t="s">
        <v>78</v>
      </c>
      <c r="C2" s="92"/>
      <c r="D2" s="92"/>
      <c r="E2" s="92"/>
      <c r="F2" s="92"/>
      <c r="G2" s="92"/>
      <c r="H2" s="92"/>
      <c r="I2" s="92"/>
      <c r="J2" s="92"/>
    </row>
    <row r="4" spans="2:10" s="10" customFormat="1" x14ac:dyDescent="0.3">
      <c r="C4" s="95" t="s">
        <v>114</v>
      </c>
      <c r="D4" s="93"/>
      <c r="E4" s="94"/>
      <c r="F4" s="93" t="s">
        <v>115</v>
      </c>
      <c r="G4" s="93"/>
      <c r="H4" s="93"/>
      <c r="I4" s="93"/>
      <c r="J4" s="94"/>
    </row>
    <row r="5" spans="2:10" ht="19.5" customHeight="1" x14ac:dyDescent="0.3">
      <c r="B5" s="15" t="s">
        <v>116</v>
      </c>
      <c r="C5" s="16">
        <v>1</v>
      </c>
      <c r="D5" s="16">
        <f>C5+1</f>
        <v>2</v>
      </c>
      <c r="E5" s="16">
        <f>D5+1</f>
        <v>3</v>
      </c>
      <c r="F5" s="12">
        <v>1</v>
      </c>
      <c r="G5" s="12">
        <f t="shared" ref="G5:J5" si="0">F5+1</f>
        <v>2</v>
      </c>
      <c r="H5" s="12">
        <f t="shared" si="0"/>
        <v>3</v>
      </c>
      <c r="I5" s="12">
        <f t="shared" si="0"/>
        <v>4</v>
      </c>
      <c r="J5" s="12">
        <f t="shared" si="0"/>
        <v>5</v>
      </c>
    </row>
    <row r="6" spans="2:10" s="3" customFormat="1" ht="16.05" customHeight="1" x14ac:dyDescent="0.3">
      <c r="B6" s="20" t="s">
        <v>45</v>
      </c>
      <c r="C6" s="39">
        <v>800000</v>
      </c>
      <c r="D6" s="39">
        <v>850000</v>
      </c>
      <c r="E6" s="39">
        <v>920000</v>
      </c>
      <c r="F6" s="21">
        <f>E6*(1+Assumptions!C10)</f>
        <v>975200</v>
      </c>
      <c r="G6" s="21">
        <f>F6*(1+Assumptions!C11)</f>
        <v>1053216</v>
      </c>
      <c r="H6" s="21">
        <f>G6*(1+Assumptions!C12)</f>
        <v>1179601.9200000002</v>
      </c>
      <c r="I6" s="21">
        <f>H6*(1+Assumptions!C13)</f>
        <v>1368338.2272000001</v>
      </c>
      <c r="J6" s="21">
        <f>I6*(1+Assumptions!C14)</f>
        <v>1669372.6371840001</v>
      </c>
    </row>
    <row r="7" spans="2:10" s="34" customFormat="1" ht="16.05" customHeight="1" x14ac:dyDescent="0.3">
      <c r="B7" s="31" t="s">
        <v>46</v>
      </c>
      <c r="C7" s="32"/>
      <c r="D7" s="32"/>
      <c r="E7" s="32"/>
      <c r="F7" s="33">
        <f>(F6-E6)/E6</f>
        <v>0.06</v>
      </c>
      <c r="G7" s="33">
        <f t="shared" ref="G7:J7" si="1">(G6-F6)/F6</f>
        <v>0.08</v>
      </c>
      <c r="H7" s="33">
        <f t="shared" si="1"/>
        <v>0.12000000000000015</v>
      </c>
      <c r="I7" s="33">
        <f t="shared" si="1"/>
        <v>0.15999999999999992</v>
      </c>
      <c r="J7" s="33">
        <f t="shared" si="1"/>
        <v>0.22</v>
      </c>
    </row>
    <row r="8" spans="2:10" s="3" customFormat="1" ht="16.05" customHeight="1" x14ac:dyDescent="0.3">
      <c r="B8" s="24" t="s">
        <v>47</v>
      </c>
      <c r="C8" s="40">
        <v>420000</v>
      </c>
      <c r="D8" s="40">
        <v>490000</v>
      </c>
      <c r="E8" s="40">
        <v>560000</v>
      </c>
      <c r="F8" s="25">
        <f>D6*(1-Assumptions!$C$17)</f>
        <v>467500.00000000006</v>
      </c>
      <c r="G8" s="25">
        <f>E6*(1-Assumptions!$C$17)</f>
        <v>506000.00000000006</v>
      </c>
      <c r="H8" s="25">
        <f>F6*(1-Assumptions!$C$17)</f>
        <v>536360</v>
      </c>
      <c r="I8" s="25">
        <f>G6*(1-Assumptions!$C$17)</f>
        <v>579268.80000000005</v>
      </c>
      <c r="J8" s="25">
        <f>H6*(1-Assumptions!$C$17)</f>
        <v>648781.0560000001</v>
      </c>
    </row>
    <row r="9" spans="2:10" s="3" customFormat="1" ht="16.05" customHeight="1" x14ac:dyDescent="0.3">
      <c r="B9" s="27" t="s">
        <v>48</v>
      </c>
      <c r="C9" s="28">
        <f t="shared" ref="C9:J9" si="2">C6-C8</f>
        <v>380000</v>
      </c>
      <c r="D9" s="28">
        <f t="shared" si="2"/>
        <v>360000</v>
      </c>
      <c r="E9" s="28">
        <f t="shared" si="2"/>
        <v>360000</v>
      </c>
      <c r="F9" s="28">
        <f t="shared" si="2"/>
        <v>507699.99999999994</v>
      </c>
      <c r="G9" s="28">
        <f t="shared" si="2"/>
        <v>547216</v>
      </c>
      <c r="H9" s="28">
        <f t="shared" si="2"/>
        <v>643241.92000000016</v>
      </c>
      <c r="I9" s="28">
        <f t="shared" si="2"/>
        <v>789069.42720000003</v>
      </c>
      <c r="J9" s="28">
        <f t="shared" si="2"/>
        <v>1020591.581184</v>
      </c>
    </row>
    <row r="10" spans="2:10" s="36" customFormat="1" ht="16.05" customHeight="1" x14ac:dyDescent="0.3">
      <c r="B10" s="31" t="s">
        <v>49</v>
      </c>
      <c r="C10" s="35">
        <f t="shared" ref="C10:J10" si="3">IF(C6=0,"-",C9/C6)</f>
        <v>0.47499999999999998</v>
      </c>
      <c r="D10" s="35">
        <f t="shared" si="3"/>
        <v>0.42352941176470588</v>
      </c>
      <c r="E10" s="35">
        <f t="shared" si="3"/>
        <v>0.39130434782608697</v>
      </c>
      <c r="F10" s="35">
        <f t="shared" si="3"/>
        <v>0.52061115668580793</v>
      </c>
      <c r="G10" s="35">
        <f t="shared" si="3"/>
        <v>0.51956673654786867</v>
      </c>
      <c r="H10" s="35">
        <f t="shared" si="3"/>
        <v>0.5453042328042329</v>
      </c>
      <c r="I10" s="35">
        <f t="shared" si="3"/>
        <v>0.57666256157635465</v>
      </c>
      <c r="J10" s="35">
        <f t="shared" si="3"/>
        <v>0.61136235161107966</v>
      </c>
    </row>
    <row r="11" spans="2:10" s="3" customFormat="1" ht="16.05" customHeight="1" x14ac:dyDescent="0.3">
      <c r="B11" s="24" t="s">
        <v>77</v>
      </c>
      <c r="C11" s="40">
        <v>155</v>
      </c>
      <c r="D11" s="40">
        <v>170</v>
      </c>
      <c r="E11" s="40">
        <v>190</v>
      </c>
      <c r="F11" s="25">
        <f>D6*(Assumptions!$C$18-Assumptions!$C$29)</f>
        <v>153000</v>
      </c>
      <c r="G11" s="25">
        <f>E6*(Assumptions!$C$18-Assumptions!$C$29)</f>
        <v>165600</v>
      </c>
      <c r="H11" s="25">
        <f>F6*(Assumptions!$C$18-Assumptions!$C$29)</f>
        <v>175536</v>
      </c>
      <c r="I11" s="25">
        <f>G6*(Assumptions!$C$18-Assumptions!$C$29)</f>
        <v>189578.88</v>
      </c>
      <c r="J11" s="25">
        <f>H6*(Assumptions!$C$18-Assumptions!$C$29)</f>
        <v>212328.34560000003</v>
      </c>
    </row>
    <row r="12" spans="2:10" s="3" customFormat="1" ht="16.05" customHeight="1" x14ac:dyDescent="0.3">
      <c r="B12" s="27" t="s">
        <v>50</v>
      </c>
      <c r="C12" s="28">
        <f t="shared" ref="C12:J12" si="4">C9-C11</f>
        <v>379845</v>
      </c>
      <c r="D12" s="28">
        <f t="shared" si="4"/>
        <v>359830</v>
      </c>
      <c r="E12" s="28">
        <f t="shared" si="4"/>
        <v>359810</v>
      </c>
      <c r="F12" s="28">
        <f t="shared" si="4"/>
        <v>354699.99999999994</v>
      </c>
      <c r="G12" s="28">
        <f t="shared" si="4"/>
        <v>381616</v>
      </c>
      <c r="H12" s="28">
        <f t="shared" si="4"/>
        <v>467705.92000000016</v>
      </c>
      <c r="I12" s="28">
        <f t="shared" si="4"/>
        <v>599490.54720000003</v>
      </c>
      <c r="J12" s="28">
        <f t="shared" si="4"/>
        <v>808263.23558400001</v>
      </c>
    </row>
    <row r="13" spans="2:10" s="36" customFormat="1" ht="16.05" customHeight="1" x14ac:dyDescent="0.3">
      <c r="B13" s="31" t="s">
        <v>51</v>
      </c>
      <c r="C13" s="35">
        <f t="shared" ref="C13:J13" si="5">C12/C6</f>
        <v>0.47480624999999999</v>
      </c>
      <c r="D13" s="35">
        <f t="shared" si="5"/>
        <v>0.4233294117647059</v>
      </c>
      <c r="E13" s="35">
        <f t="shared" si="5"/>
        <v>0.39109782608695653</v>
      </c>
      <c r="F13" s="35">
        <f t="shared" si="5"/>
        <v>0.36372026251025424</v>
      </c>
      <c r="G13" s="35">
        <f t="shared" si="5"/>
        <v>0.36233403214535292</v>
      </c>
      <c r="H13" s="35">
        <f t="shared" si="5"/>
        <v>0.39649470899470907</v>
      </c>
      <c r="I13" s="35">
        <f t="shared" si="5"/>
        <v>0.43811576354679804</v>
      </c>
      <c r="J13" s="35">
        <f t="shared" si="5"/>
        <v>0.48417184850197847</v>
      </c>
    </row>
    <row r="14" spans="2:10" s="3" customFormat="1" ht="16.05" customHeight="1" x14ac:dyDescent="0.3">
      <c r="B14" s="24" t="s">
        <v>52</v>
      </c>
      <c r="C14" s="25">
        <f>C6*Assumptions!$C$29</f>
        <v>32000</v>
      </c>
      <c r="D14" s="25">
        <f>D6*Assumptions!$C$29</f>
        <v>34000</v>
      </c>
      <c r="E14" s="25">
        <f>E6*Assumptions!$C$29</f>
        <v>36800</v>
      </c>
      <c r="F14" s="25">
        <f>F6*Assumptions!$C$29</f>
        <v>39008</v>
      </c>
      <c r="G14" s="25">
        <f>G6*Assumptions!$C$29</f>
        <v>42128.639999999999</v>
      </c>
      <c r="H14" s="25">
        <f>H6*Assumptions!$C$29</f>
        <v>47184.07680000001</v>
      </c>
      <c r="I14" s="25">
        <f>I6*Assumptions!$C$29</f>
        <v>54733.529088000003</v>
      </c>
      <c r="J14" s="25">
        <f>J6*Assumptions!$C$29</f>
        <v>66774.905487360011</v>
      </c>
    </row>
    <row r="15" spans="2:10" s="3" customFormat="1" ht="16.05" customHeight="1" x14ac:dyDescent="0.3">
      <c r="B15" s="27" t="s">
        <v>53</v>
      </c>
      <c r="C15" s="28">
        <f t="shared" ref="C15:J15" si="6">C12-C14</f>
        <v>347845</v>
      </c>
      <c r="D15" s="28">
        <f t="shared" si="6"/>
        <v>325830</v>
      </c>
      <c r="E15" s="28">
        <f t="shared" si="6"/>
        <v>323010</v>
      </c>
      <c r="F15" s="28">
        <f t="shared" si="6"/>
        <v>315691.99999999994</v>
      </c>
      <c r="G15" s="28">
        <f t="shared" si="6"/>
        <v>339487.36</v>
      </c>
      <c r="H15" s="28">
        <f t="shared" si="6"/>
        <v>420521.84320000012</v>
      </c>
      <c r="I15" s="28">
        <f t="shared" si="6"/>
        <v>544757.01811200008</v>
      </c>
      <c r="J15" s="28">
        <f t="shared" si="6"/>
        <v>741488.33009664004</v>
      </c>
    </row>
    <row r="16" spans="2:10" s="3" customFormat="1" ht="16.05" customHeight="1" x14ac:dyDescent="0.3">
      <c r="B16" s="24" t="s">
        <v>54</v>
      </c>
      <c r="C16" s="40">
        <v>2000</v>
      </c>
      <c r="D16" s="40">
        <v>2100</v>
      </c>
      <c r="E16" s="40">
        <v>2300</v>
      </c>
      <c r="F16" s="40">
        <v>2500</v>
      </c>
      <c r="G16" s="40">
        <v>2700</v>
      </c>
      <c r="H16" s="40">
        <v>2900</v>
      </c>
      <c r="I16" s="40">
        <v>3100</v>
      </c>
      <c r="J16" s="40">
        <v>3300</v>
      </c>
    </row>
    <row r="17" spans="2:10" s="3" customFormat="1" ht="16.05" customHeight="1" x14ac:dyDescent="0.3">
      <c r="B17" s="27" t="s">
        <v>55</v>
      </c>
      <c r="C17" s="28">
        <f t="shared" ref="C17:J17" si="7">C15-C16</f>
        <v>345845</v>
      </c>
      <c r="D17" s="28">
        <f t="shared" si="7"/>
        <v>323730</v>
      </c>
      <c r="E17" s="28">
        <f t="shared" si="7"/>
        <v>320710</v>
      </c>
      <c r="F17" s="28">
        <f t="shared" si="7"/>
        <v>313191.99999999994</v>
      </c>
      <c r="G17" s="28">
        <f t="shared" si="7"/>
        <v>336787.36</v>
      </c>
      <c r="H17" s="28">
        <f t="shared" si="7"/>
        <v>417621.84320000012</v>
      </c>
      <c r="I17" s="28">
        <f t="shared" si="7"/>
        <v>541657.01811200008</v>
      </c>
      <c r="J17" s="28">
        <f t="shared" si="7"/>
        <v>738188.33009664004</v>
      </c>
    </row>
    <row r="18" spans="2:10" s="3" customFormat="1" ht="16.05" customHeight="1" x14ac:dyDescent="0.3">
      <c r="B18" s="24" t="s">
        <v>56</v>
      </c>
      <c r="C18" s="26">
        <f>C17*Assumptions!$C$20</f>
        <v>86461.25</v>
      </c>
      <c r="D18" s="26">
        <f>D17*Assumptions!$C$20</f>
        <v>80932.5</v>
      </c>
      <c r="E18" s="26">
        <f>E17*Assumptions!$C$20</f>
        <v>80177.5</v>
      </c>
      <c r="F18" s="26">
        <f>F17*Assumptions!$C$20</f>
        <v>78297.999999999985</v>
      </c>
      <c r="G18" s="26">
        <f>G17*Assumptions!$C$20</f>
        <v>84196.84</v>
      </c>
      <c r="H18" s="26">
        <f>H17*Assumptions!$C$20</f>
        <v>104405.46080000003</v>
      </c>
      <c r="I18" s="26">
        <f>I17*Assumptions!$C$20</f>
        <v>135414.25452800002</v>
      </c>
      <c r="J18" s="26">
        <f>J17*Assumptions!$C$20</f>
        <v>184547.08252416001</v>
      </c>
    </row>
    <row r="19" spans="2:10" s="3" customFormat="1" ht="16.05" customHeight="1" thickBot="1" x14ac:dyDescent="0.35">
      <c r="B19" s="29" t="s">
        <v>57</v>
      </c>
      <c r="C19" s="30">
        <f t="shared" ref="C19:J19" si="8">C17-C18</f>
        <v>259383.75</v>
      </c>
      <c r="D19" s="30">
        <f t="shared" si="8"/>
        <v>242797.5</v>
      </c>
      <c r="E19" s="30">
        <f t="shared" si="8"/>
        <v>240532.5</v>
      </c>
      <c r="F19" s="30">
        <f t="shared" si="8"/>
        <v>234893.99999999994</v>
      </c>
      <c r="G19" s="30">
        <f t="shared" si="8"/>
        <v>252590.52</v>
      </c>
      <c r="H19" s="30">
        <f t="shared" si="8"/>
        <v>313216.38240000012</v>
      </c>
      <c r="I19" s="30">
        <f t="shared" si="8"/>
        <v>406242.76358400006</v>
      </c>
      <c r="J19" s="30">
        <f t="shared" si="8"/>
        <v>553641.24757248</v>
      </c>
    </row>
    <row r="20" spans="2:10" s="36" customFormat="1" ht="16.05" customHeight="1" x14ac:dyDescent="0.3">
      <c r="B20" s="37" t="s">
        <v>58</v>
      </c>
      <c r="C20" s="38">
        <f t="shared" ref="C20:J20" si="9">IF(C6=0,"-",C19/C6)</f>
        <v>0.32422968749999997</v>
      </c>
      <c r="D20" s="38">
        <f t="shared" si="9"/>
        <v>0.28564411764705883</v>
      </c>
      <c r="E20" s="38">
        <f t="shared" si="9"/>
        <v>0.26144836956521739</v>
      </c>
      <c r="F20" s="38">
        <f t="shared" si="9"/>
        <v>0.24086751435602946</v>
      </c>
      <c r="G20" s="38">
        <f t="shared" si="9"/>
        <v>0.23982784158235346</v>
      </c>
      <c r="H20" s="38">
        <f t="shared" si="9"/>
        <v>0.26552718937588715</v>
      </c>
      <c r="I20" s="38">
        <f t="shared" si="9"/>
        <v>0.29688768135586296</v>
      </c>
      <c r="J20" s="38">
        <f t="shared" si="9"/>
        <v>0.33164629348807101</v>
      </c>
    </row>
  </sheetData>
  <mergeCells count="3">
    <mergeCell ref="B2:J2"/>
    <mergeCell ref="F4:J4"/>
    <mergeCell ref="C4:E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B2:J12"/>
  <sheetViews>
    <sheetView showGridLines="0" zoomScaleNormal="100" workbookViewId="0">
      <selection activeCell="D16" sqref="D16"/>
    </sheetView>
  </sheetViews>
  <sheetFormatPr defaultColWidth="8.6640625" defaultRowHeight="14.4" x14ac:dyDescent="0.3"/>
  <cols>
    <col min="1" max="1" width="3" customWidth="1"/>
    <col min="2" max="2" width="38" customWidth="1"/>
    <col min="3" max="10" width="14" style="11" customWidth="1"/>
  </cols>
  <sheetData>
    <row r="2" spans="2:10" ht="21" x14ac:dyDescent="0.3">
      <c r="B2" s="92" t="s">
        <v>85</v>
      </c>
      <c r="C2" s="92"/>
      <c r="D2" s="92"/>
      <c r="E2" s="92"/>
      <c r="F2" s="92"/>
      <c r="G2" s="92"/>
      <c r="H2" s="92"/>
      <c r="I2" s="92"/>
      <c r="J2" s="92"/>
    </row>
    <row r="4" spans="2:10" x14ac:dyDescent="0.3">
      <c r="C4" s="95" t="s">
        <v>114</v>
      </c>
      <c r="D4" s="93"/>
      <c r="E4" s="94"/>
      <c r="F4" s="93" t="s">
        <v>115</v>
      </c>
      <c r="G4" s="93"/>
      <c r="H4" s="93"/>
      <c r="I4" s="93"/>
      <c r="J4" s="94"/>
    </row>
    <row r="5" spans="2:10" s="43" customFormat="1" ht="19.5" customHeight="1" x14ac:dyDescent="0.3">
      <c r="B5" s="42" t="s">
        <v>116</v>
      </c>
      <c r="C5" s="44">
        <v>1</v>
      </c>
      <c r="D5" s="44">
        <v>2</v>
      </c>
      <c r="E5" s="44">
        <v>3</v>
      </c>
      <c r="F5" s="45">
        <v>1</v>
      </c>
      <c r="G5" s="45">
        <v>2</v>
      </c>
      <c r="H5" s="45">
        <v>3</v>
      </c>
      <c r="I5" s="45">
        <v>4</v>
      </c>
      <c r="J5" s="45">
        <v>5</v>
      </c>
    </row>
    <row r="6" spans="2:10" s="3" customFormat="1" ht="16.95" customHeight="1" x14ac:dyDescent="0.3">
      <c r="B6" s="20" t="s">
        <v>59</v>
      </c>
      <c r="C6" s="23">
        <f>'Income Statement'!C15</f>
        <v>347845</v>
      </c>
      <c r="D6" s="23">
        <f>'Income Statement'!D15</f>
        <v>325830</v>
      </c>
      <c r="E6" s="23">
        <f>'Income Statement'!E15</f>
        <v>323010</v>
      </c>
      <c r="F6" s="23">
        <f>'Income Statement'!F15</f>
        <v>315691.99999999994</v>
      </c>
      <c r="G6" s="23">
        <f>'Income Statement'!G15</f>
        <v>339487.36</v>
      </c>
      <c r="H6" s="23">
        <f>'Income Statement'!H15</f>
        <v>420521.84320000012</v>
      </c>
      <c r="I6" s="23">
        <f>'Income Statement'!I15</f>
        <v>544757.01811200008</v>
      </c>
      <c r="J6" s="23">
        <f>'Income Statement'!J15</f>
        <v>741488.33009664004</v>
      </c>
    </row>
    <row r="7" spans="2:10" s="3" customFormat="1" ht="16.95" customHeight="1" x14ac:dyDescent="0.3">
      <c r="B7" s="24" t="s">
        <v>81</v>
      </c>
      <c r="C7" s="25">
        <f>-(C6*Assumptions!$C$20)</f>
        <v>-86961.25</v>
      </c>
      <c r="D7" s="25">
        <f>-(D6*Assumptions!$C$20)</f>
        <v>-81457.5</v>
      </c>
      <c r="E7" s="25">
        <f>-(E6*Assumptions!$C$20)</f>
        <v>-80752.5</v>
      </c>
      <c r="F7" s="25">
        <f>-(F6*Assumptions!$C$20)</f>
        <v>-78922.999999999985</v>
      </c>
      <c r="G7" s="25">
        <f>-(G6*Assumptions!$C$20)</f>
        <v>-84871.84</v>
      </c>
      <c r="H7" s="25">
        <f>-(H6*Assumptions!$C$20)</f>
        <v>-105130.46080000003</v>
      </c>
      <c r="I7" s="25">
        <f>-(I6*Assumptions!$C$20)</f>
        <v>-136189.25452800002</v>
      </c>
      <c r="J7" s="25">
        <f>-(J6*Assumptions!$C$20)</f>
        <v>-185372.08252416001</v>
      </c>
    </row>
    <row r="8" spans="2:10" s="3" customFormat="1" ht="16.95" customHeight="1" x14ac:dyDescent="0.3">
      <c r="B8" s="27" t="s">
        <v>83</v>
      </c>
      <c r="C8" s="28">
        <f t="shared" ref="C8:J8" si="0">C6+C7</f>
        <v>260883.75</v>
      </c>
      <c r="D8" s="28">
        <f t="shared" si="0"/>
        <v>244372.5</v>
      </c>
      <c r="E8" s="28">
        <f t="shared" si="0"/>
        <v>242257.5</v>
      </c>
      <c r="F8" s="28">
        <f t="shared" si="0"/>
        <v>236768.99999999994</v>
      </c>
      <c r="G8" s="28">
        <f t="shared" si="0"/>
        <v>254615.52</v>
      </c>
      <c r="H8" s="28">
        <f t="shared" si="0"/>
        <v>315391.38240000012</v>
      </c>
      <c r="I8" s="28">
        <f t="shared" si="0"/>
        <v>408567.76358400006</v>
      </c>
      <c r="J8" s="28">
        <f t="shared" si="0"/>
        <v>556116.24757248</v>
      </c>
    </row>
    <row r="9" spans="2:10" s="3" customFormat="1" ht="16.95" customHeight="1" x14ac:dyDescent="0.3">
      <c r="B9" s="22" t="s">
        <v>60</v>
      </c>
      <c r="C9" s="23">
        <f>'Income Statement'!C14</f>
        <v>32000</v>
      </c>
      <c r="D9" s="23">
        <f>'Income Statement'!D14</f>
        <v>34000</v>
      </c>
      <c r="E9" s="23">
        <f>'Income Statement'!E14</f>
        <v>36800</v>
      </c>
      <c r="F9" s="23">
        <f>'Income Statement'!F14</f>
        <v>39008</v>
      </c>
      <c r="G9" s="23">
        <f>'Income Statement'!G14</f>
        <v>42128.639999999999</v>
      </c>
      <c r="H9" s="23">
        <f>'Income Statement'!H14</f>
        <v>47184.07680000001</v>
      </c>
      <c r="I9" s="23">
        <f>'Income Statement'!I14</f>
        <v>54733.529088000003</v>
      </c>
      <c r="J9" s="23">
        <f>'Income Statement'!J14</f>
        <v>66774.905487360011</v>
      </c>
    </row>
    <row r="10" spans="2:10" s="3" customFormat="1" ht="16.95" customHeight="1" x14ac:dyDescent="0.3">
      <c r="B10" s="22" t="s">
        <v>61</v>
      </c>
      <c r="C10" s="46">
        <v>-40000</v>
      </c>
      <c r="D10" s="46">
        <v>-45000</v>
      </c>
      <c r="E10" s="46">
        <v>-47000</v>
      </c>
      <c r="F10" s="23">
        <f>-'Income Statement'!F6*Assumptions!$C$28</f>
        <v>-48760</v>
      </c>
      <c r="G10" s="23">
        <f>-'Income Statement'!G6*Assumptions!$C$28</f>
        <v>-52660.800000000003</v>
      </c>
      <c r="H10" s="23">
        <f>-'Income Statement'!H6*Assumptions!$C$28</f>
        <v>-58980.096000000012</v>
      </c>
      <c r="I10" s="23">
        <f>-'Income Statement'!I6*Assumptions!$C$28</f>
        <v>-68416.911360000013</v>
      </c>
      <c r="J10" s="23">
        <f>-'Income Statement'!J6*Assumptions!$C$28</f>
        <v>-83468.631859200017</v>
      </c>
    </row>
    <row r="11" spans="2:10" s="3" customFormat="1" ht="16.95" customHeight="1" x14ac:dyDescent="0.3">
      <c r="B11" s="24" t="s">
        <v>80</v>
      </c>
      <c r="C11" s="40">
        <v>-15</v>
      </c>
      <c r="D11" s="40">
        <v>-18</v>
      </c>
      <c r="E11" s="40">
        <v>-20</v>
      </c>
      <c r="F11" s="25">
        <f>-('Income Statement'!F6*(Assumptions!$C$23+Assumptions!$C$24-Assumptions!$C$25)/365-'Income Statement'!E6*(Assumptions!$C$23+Assumptions!$C$24-Assumptions!$C$25)/365)</f>
        <v>-9830.1369863013679</v>
      </c>
      <c r="G11" s="25">
        <f>-('Income Statement'!G6*(Assumptions!$C$23+Assumptions!$C$24-Assumptions!$C$25)/365-'Income Statement'!F6*(Assumptions!$C$23+Assumptions!$C$24-Assumptions!$C$25)/365)</f>
        <v>-13893.260273972614</v>
      </c>
      <c r="H11" s="25">
        <f>-('Income Statement'!H6*(Assumptions!$C$23+Assumptions!$C$24-Assumptions!$C$25)/365-'Income Statement'!G6*(Assumptions!$C$23+Assumptions!$C$24-Assumptions!$C$25)/365)</f>
        <v>-22507.081643835641</v>
      </c>
      <c r="I11" s="25">
        <f>-('Income Statement'!I6*(Assumptions!$C$23+Assumptions!$C$24-Assumptions!$C$25)/365-'Income Statement'!H6*(Assumptions!$C$23+Assumptions!$C$24-Assumptions!$C$25)/365)</f>
        <v>-33610.575254794501</v>
      </c>
      <c r="J11" s="25">
        <f>-('Income Statement'!J6*(Assumptions!$C$23+Assumptions!$C$24-Assumptions!$C$25)/365-'Income Statement'!I6*(Assumptions!$C$23+Assumptions!$C$24-Assumptions!$C$25)/365)</f>
        <v>-53608.867531397264</v>
      </c>
    </row>
    <row r="12" spans="2:10" s="3" customFormat="1" ht="16.95" customHeight="1" thickBot="1" x14ac:dyDescent="0.35">
      <c r="B12" s="29" t="s">
        <v>79</v>
      </c>
      <c r="C12" s="30">
        <f t="shared" ref="C12:J12" si="1">C8+C9+C10+C11</f>
        <v>252868.75</v>
      </c>
      <c r="D12" s="30">
        <f t="shared" si="1"/>
        <v>233354.5</v>
      </c>
      <c r="E12" s="30">
        <f t="shared" si="1"/>
        <v>232037.5</v>
      </c>
      <c r="F12" s="30">
        <f t="shared" si="1"/>
        <v>217186.86301369857</v>
      </c>
      <c r="G12" s="30">
        <f t="shared" si="1"/>
        <v>230190.09972602737</v>
      </c>
      <c r="H12" s="30">
        <f t="shared" si="1"/>
        <v>281088.2815561645</v>
      </c>
      <c r="I12" s="30">
        <f t="shared" si="1"/>
        <v>361273.80605720554</v>
      </c>
      <c r="J12" s="30">
        <f t="shared" si="1"/>
        <v>485813.65366924263</v>
      </c>
    </row>
  </sheetData>
  <mergeCells count="3">
    <mergeCell ref="B2:J2"/>
    <mergeCell ref="C4:E4"/>
    <mergeCell ref="F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B2:J25"/>
  <sheetViews>
    <sheetView showGridLines="0" zoomScaleNormal="100" workbookViewId="0">
      <selection activeCell="K8" sqref="K8"/>
    </sheetView>
  </sheetViews>
  <sheetFormatPr defaultColWidth="8.6640625" defaultRowHeight="14.4" x14ac:dyDescent="0.3"/>
  <cols>
    <col min="1" max="1" width="3" customWidth="1"/>
    <col min="2" max="2" width="41.6640625" customWidth="1"/>
    <col min="3" max="5" width="14" hidden="1" customWidth="1"/>
    <col min="6" max="10" width="14" customWidth="1"/>
  </cols>
  <sheetData>
    <row r="2" spans="2:10" s="3" customFormat="1" ht="21" x14ac:dyDescent="0.3">
      <c r="B2" s="92" t="s">
        <v>84</v>
      </c>
      <c r="C2" s="92"/>
      <c r="D2" s="92"/>
      <c r="E2" s="92"/>
      <c r="F2" s="92"/>
      <c r="G2" s="92"/>
      <c r="H2" s="92"/>
      <c r="I2" s="92"/>
      <c r="J2" s="92"/>
    </row>
    <row r="4" spans="2:10" s="43" customFormat="1" ht="19.5" customHeight="1" x14ac:dyDescent="0.3">
      <c r="B4" s="42" t="s">
        <v>116</v>
      </c>
      <c r="C4" s="47"/>
      <c r="D4" s="47"/>
      <c r="E4" s="47"/>
      <c r="F4" s="45">
        <v>1</v>
      </c>
      <c r="G4" s="45">
        <v>2</v>
      </c>
      <c r="H4" s="45">
        <v>3</v>
      </c>
      <c r="I4" s="45">
        <v>4</v>
      </c>
      <c r="J4" s="45">
        <v>5</v>
      </c>
    </row>
    <row r="5" spans="2:10" x14ac:dyDescent="0.3">
      <c r="B5" s="104" t="s">
        <v>62</v>
      </c>
      <c r="C5" s="104"/>
      <c r="D5" s="104"/>
      <c r="E5" s="104"/>
      <c r="F5" s="104"/>
      <c r="G5" s="104"/>
      <c r="H5" s="104"/>
      <c r="I5" s="104"/>
      <c r="J5" s="104"/>
    </row>
    <row r="6" spans="2:10" s="3" customFormat="1" ht="16.05" customHeight="1" x14ac:dyDescent="0.3">
      <c r="B6" s="22" t="s">
        <v>71</v>
      </c>
      <c r="C6" s="54"/>
      <c r="D6" s="54"/>
      <c r="E6" s="54"/>
      <c r="F6" s="53">
        <v>1</v>
      </c>
      <c r="G6" s="53">
        <f>F6+1</f>
        <v>2</v>
      </c>
      <c r="H6" s="53">
        <f t="shared" ref="H6:J6" si="0">G6+1</f>
        <v>3</v>
      </c>
      <c r="I6" s="53">
        <f t="shared" si="0"/>
        <v>4</v>
      </c>
      <c r="J6" s="53">
        <f t="shared" si="0"/>
        <v>5</v>
      </c>
    </row>
    <row r="7" spans="2:10" s="3" customFormat="1" ht="16.05" customHeight="1" x14ac:dyDescent="0.3">
      <c r="B7" s="22" t="s">
        <v>41</v>
      </c>
      <c r="C7" s="54"/>
      <c r="D7" s="54"/>
      <c r="E7" s="54"/>
      <c r="F7" s="55">
        <f>Assumptions!$C$36</f>
        <v>0.13600000000000001</v>
      </c>
      <c r="G7" s="55">
        <f>Assumptions!$C$36</f>
        <v>0.13600000000000001</v>
      </c>
      <c r="H7" s="55">
        <f>Assumptions!$C$36</f>
        <v>0.13600000000000001</v>
      </c>
      <c r="I7" s="55">
        <f>Assumptions!$C$36</f>
        <v>0.13600000000000001</v>
      </c>
      <c r="J7" s="55">
        <f>Assumptions!$C$36</f>
        <v>0.13600000000000001</v>
      </c>
    </row>
    <row r="8" spans="2:10" s="3" customFormat="1" ht="16.05" customHeight="1" x14ac:dyDescent="0.3">
      <c r="B8" s="22" t="s">
        <v>63</v>
      </c>
      <c r="C8" s="54"/>
      <c r="D8" s="54"/>
      <c r="E8" s="54"/>
      <c r="F8" s="56">
        <f>1/(1+F7)^F6</f>
        <v>0.88028169014084501</v>
      </c>
      <c r="G8" s="56">
        <f>1/(1+G7)^G6</f>
        <v>0.77489585399722261</v>
      </c>
      <c r="H8" s="56">
        <f>1/(1+H7)^H6</f>
        <v>0.6821266320398085</v>
      </c>
      <c r="I8" s="56">
        <f>1/(1+I7)^I6</f>
        <v>0.60046358454208493</v>
      </c>
      <c r="J8" s="56">
        <f>1/(1+J7)^J6</f>
        <v>0.52857709906873673</v>
      </c>
    </row>
    <row r="9" spans="2:10" ht="16.05" customHeight="1" x14ac:dyDescent="0.3">
      <c r="B9" s="89" t="s">
        <v>64</v>
      </c>
      <c r="C9" s="89"/>
      <c r="D9" s="89"/>
      <c r="E9" s="89"/>
      <c r="F9" s="89"/>
      <c r="G9" s="89"/>
      <c r="H9" s="89"/>
      <c r="I9" s="89"/>
      <c r="J9" s="89"/>
    </row>
    <row r="10" spans="2:10" s="3" customFormat="1" ht="16.05" customHeight="1" x14ac:dyDescent="0.3">
      <c r="B10" s="57" t="s">
        <v>70</v>
      </c>
      <c r="C10" s="58"/>
      <c r="D10" s="58"/>
      <c r="E10" s="58"/>
      <c r="F10" s="63">
        <f>'FCF Build'!F12</f>
        <v>217186.86301369857</v>
      </c>
      <c r="G10" s="63">
        <f>'FCF Build'!G12</f>
        <v>230190.09972602737</v>
      </c>
      <c r="H10" s="63">
        <f>'FCF Build'!H12</f>
        <v>281088.2815561645</v>
      </c>
      <c r="I10" s="63">
        <f>'FCF Build'!I12</f>
        <v>361273.80605720554</v>
      </c>
      <c r="J10" s="63">
        <f>'FCF Build'!J12</f>
        <v>485813.65366924263</v>
      </c>
    </row>
    <row r="11" spans="2:10" s="3" customFormat="1" ht="16.05" customHeight="1" x14ac:dyDescent="0.3">
      <c r="B11" s="59" t="s">
        <v>65</v>
      </c>
      <c r="C11" s="58"/>
      <c r="D11" s="58"/>
      <c r="E11" s="58"/>
      <c r="F11" s="64">
        <f>F10*F8</f>
        <v>191185.61885008676</v>
      </c>
      <c r="G11" s="64">
        <f>G10*G8</f>
        <v>178373.35390890582</v>
      </c>
      <c r="H11" s="64">
        <f>H10*H8</f>
        <v>191737.80280376392</v>
      </c>
      <c r="I11" s="64">
        <f>I10*I8</f>
        <v>216931.76458627163</v>
      </c>
      <c r="J11" s="64">
        <f>J10*J8</f>
        <v>256789.97174447222</v>
      </c>
    </row>
    <row r="12" spans="2:10" ht="16.05" customHeight="1" x14ac:dyDescent="0.3">
      <c r="B12" s="14" t="s">
        <v>66</v>
      </c>
      <c r="C12" s="13"/>
      <c r="D12" s="13"/>
      <c r="E12" s="13"/>
      <c r="F12" s="105">
        <f>SUM(F11:J11)</f>
        <v>1035018.5118935003</v>
      </c>
      <c r="G12" s="105"/>
      <c r="H12" s="105"/>
      <c r="I12" s="105"/>
      <c r="J12" s="105"/>
    </row>
    <row r="13" spans="2:10" ht="16.05" customHeight="1" x14ac:dyDescent="0.3">
      <c r="B13" s="5"/>
      <c r="C13" s="5"/>
      <c r="D13" s="5"/>
      <c r="E13" s="5"/>
      <c r="F13" s="5"/>
      <c r="G13" s="5"/>
      <c r="H13" s="5"/>
      <c r="I13" s="5"/>
      <c r="J13" s="5"/>
    </row>
    <row r="14" spans="2:10" ht="16.05" customHeight="1" x14ac:dyDescent="0.3">
      <c r="B14" s="106" t="s">
        <v>67</v>
      </c>
      <c r="C14" s="106"/>
      <c r="D14" s="106"/>
      <c r="E14" s="106"/>
      <c r="F14" s="106"/>
      <c r="G14" s="106"/>
      <c r="H14" s="106"/>
      <c r="I14" s="106"/>
      <c r="J14" s="106"/>
    </row>
    <row r="15" spans="2:10" s="3" customFormat="1" ht="16.05" customHeight="1" x14ac:dyDescent="0.3">
      <c r="B15" s="57" t="s">
        <v>73</v>
      </c>
      <c r="C15" s="58"/>
      <c r="D15" s="58"/>
      <c r="E15" s="58"/>
      <c r="F15" s="102">
        <f>'FCF Build'!J12</f>
        <v>485813.65366924263</v>
      </c>
      <c r="G15" s="102"/>
      <c r="H15" s="102"/>
      <c r="I15" s="102"/>
      <c r="J15" s="102"/>
    </row>
    <row r="16" spans="2:10" s="3" customFormat="1" ht="16.05" customHeight="1" x14ac:dyDescent="0.3">
      <c r="B16" s="57" t="s">
        <v>43</v>
      </c>
      <c r="C16" s="58"/>
      <c r="D16" s="58"/>
      <c r="E16" s="58"/>
      <c r="F16" s="103">
        <f>Assumptions!$C$39</f>
        <v>2.5000000000000001E-2</v>
      </c>
      <c r="G16" s="103"/>
      <c r="H16" s="103"/>
      <c r="I16" s="103"/>
      <c r="J16" s="103"/>
    </row>
    <row r="17" spans="2:10" ht="16.05" customHeight="1" x14ac:dyDescent="0.3">
      <c r="B17" s="49" t="s">
        <v>72</v>
      </c>
      <c r="C17" s="13"/>
      <c r="D17" s="13"/>
      <c r="E17" s="13"/>
      <c r="F17" s="98">
        <f>F15*(1+F16)/(F7-F16)</f>
        <v>4486117.0721709328</v>
      </c>
      <c r="G17" s="98"/>
      <c r="H17" s="98"/>
      <c r="I17" s="98"/>
      <c r="J17" s="98"/>
    </row>
    <row r="18" spans="2:10" ht="16.05" customHeight="1" x14ac:dyDescent="0.3">
      <c r="B18" s="48" t="s">
        <v>68</v>
      </c>
      <c r="C18" s="13"/>
      <c r="D18" s="13"/>
      <c r="E18" s="13"/>
      <c r="F18" s="98">
        <f>F17*J8</f>
        <v>2371258.7480908465</v>
      </c>
      <c r="G18" s="98"/>
      <c r="H18" s="98"/>
      <c r="I18" s="98"/>
      <c r="J18" s="98"/>
    </row>
    <row r="19" spans="2:10" ht="16.05" customHeight="1" x14ac:dyDescent="0.3">
      <c r="B19" s="5"/>
      <c r="C19" s="5"/>
      <c r="D19" s="5"/>
      <c r="E19" s="5"/>
      <c r="F19" s="5"/>
      <c r="G19" s="5"/>
      <c r="H19" s="5"/>
      <c r="I19" s="5"/>
      <c r="J19" s="5"/>
    </row>
    <row r="20" spans="2:10" ht="16.05" customHeight="1" x14ac:dyDescent="0.3">
      <c r="B20" s="101"/>
      <c r="C20" s="101"/>
      <c r="D20" s="101"/>
      <c r="E20" s="101"/>
      <c r="F20" s="101"/>
      <c r="G20" s="101"/>
      <c r="H20" s="101"/>
      <c r="I20" s="101"/>
      <c r="J20" s="101"/>
    </row>
    <row r="21" spans="2:10" ht="16.05" customHeight="1" x14ac:dyDescent="0.3">
      <c r="B21" s="48" t="s">
        <v>66</v>
      </c>
      <c r="C21" s="13"/>
      <c r="D21" s="13"/>
      <c r="E21" s="13"/>
      <c r="F21" s="98">
        <f>F12</f>
        <v>1035018.5118935003</v>
      </c>
      <c r="G21" s="98"/>
      <c r="H21" s="98"/>
      <c r="I21" s="98"/>
      <c r="J21" s="98"/>
    </row>
    <row r="22" spans="2:10" ht="16.05" customHeight="1" x14ac:dyDescent="0.3">
      <c r="B22" s="62" t="s">
        <v>69</v>
      </c>
      <c r="C22" s="50"/>
      <c r="D22" s="50"/>
      <c r="E22" s="50"/>
      <c r="F22" s="99">
        <f>F18</f>
        <v>2371258.7480908465</v>
      </c>
      <c r="G22" s="99"/>
      <c r="H22" s="99"/>
      <c r="I22" s="99"/>
      <c r="J22" s="99"/>
    </row>
    <row r="23" spans="2:10" ht="16.05" customHeight="1" thickBot="1" x14ac:dyDescent="0.35">
      <c r="B23" s="51" t="s">
        <v>124</v>
      </c>
      <c r="C23" s="52"/>
      <c r="D23" s="52"/>
      <c r="E23" s="52"/>
      <c r="F23" s="100">
        <f>F21+F22</f>
        <v>3406277.259984347</v>
      </c>
      <c r="G23" s="100"/>
      <c r="H23" s="100"/>
      <c r="I23" s="100"/>
      <c r="J23" s="100"/>
    </row>
    <row r="24" spans="2:10" x14ac:dyDescent="0.3">
      <c r="B24" s="2"/>
      <c r="F24" s="96"/>
      <c r="G24" s="96"/>
      <c r="H24" s="96"/>
      <c r="I24" s="96"/>
      <c r="J24" s="96"/>
    </row>
    <row r="25" spans="2:10" x14ac:dyDescent="0.3">
      <c r="B25" s="4"/>
      <c r="F25" s="97"/>
      <c r="G25" s="97"/>
      <c r="H25" s="97"/>
      <c r="I25" s="97"/>
      <c r="J25" s="97"/>
    </row>
  </sheetData>
  <mergeCells count="15">
    <mergeCell ref="B2:J2"/>
    <mergeCell ref="B5:J5"/>
    <mergeCell ref="B9:J9"/>
    <mergeCell ref="F12:J12"/>
    <mergeCell ref="B14:J14"/>
    <mergeCell ref="F18:J18"/>
    <mergeCell ref="B20:J20"/>
    <mergeCell ref="F15:J15"/>
    <mergeCell ref="F16:J16"/>
    <mergeCell ref="F17:J17"/>
    <mergeCell ref="F24:J24"/>
    <mergeCell ref="F25:J25"/>
    <mergeCell ref="F21:J21"/>
    <mergeCell ref="F22:J22"/>
    <mergeCell ref="F23:J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Cover</vt:lpstr>
      <vt:lpstr>Assumptions</vt:lpstr>
      <vt:lpstr>Income Statement</vt:lpstr>
      <vt:lpstr>FCF Build</vt:lpstr>
      <vt:lpstr>DCF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Asif Shukoor</cp:lastModifiedBy>
  <cp:revision>0</cp:revision>
  <dcterms:created xsi:type="dcterms:W3CDTF">2026-04-23T03:15:07Z</dcterms:created>
  <dcterms:modified xsi:type="dcterms:W3CDTF">2026-06-23T18:23:09Z</dcterms:modified>
  <dc:language>en-US</dc:language>
</cp:coreProperties>
</file>